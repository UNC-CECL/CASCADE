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wash_Matrix" sheetId="1" r:id="rId5"/>
    <sheet state="visible" name="Storm_Reference" sheetId="2" r:id="rId6"/>
    <sheet state="visible" name="Annual_Frequency" sheetId="3" r:id="rId7"/>
    <sheet state="visible" name="PyCharm_Workflow" sheetId="4" r:id="rId8"/>
  </sheets>
  <definedNames/>
  <calcPr/>
</workbook>
</file>

<file path=xl/sharedStrings.xml><?xml version="1.0" encoding="utf-8"?>
<sst xmlns="http://schemas.openxmlformats.org/spreadsheetml/2006/main" count="373" uniqueCount="274">
  <si>
    <t>Hatteras Island Overwash Observation Matrix  ·  1984–2024</t>
  </si>
  <si>
    <t>HOW TO USE:  Add one row per Google Earth imagery date you assess. The date shown in the bottom-left of Google Earth goes in 'Imagery_Date' (YYYY-MM-DD format). Year and Season auto-calculate. Enter 1 = overwash present  ·  0 = no overwash (you checked and it's clear)  ·  leave BLANK = not assessed / imagery unusable. See 'Storm_Reference' sheet for dates of known storms to search for in Google Earth.</t>
  </si>
  <si>
    <t>Cape Point</t>
  </si>
  <si>
    <t>Buxton</t>
  </si>
  <si>
    <t>Inter-village: Buxton–Avon</t>
  </si>
  <si>
    <t>Avon</t>
  </si>
  <si>
    <t>Inter-village: Avon–Tri-Village</t>
  </si>
  <si>
    <t>Tri-Village</t>
  </si>
  <si>
    <t>Pea Island / N. of Rodanthe</t>
  </si>
  <si>
    <t>Obs_ID</t>
  </si>
  <si>
    <t>Imagery_Date</t>
  </si>
  <si>
    <t>Year</t>
  </si>
  <si>
    <t>Season</t>
  </si>
  <si>
    <t>Linked_Event_ID</t>
  </si>
  <si>
    <t>Storm_Name</t>
  </si>
  <si>
    <t>Image_Quality</t>
  </si>
  <si>
    <t>Source</t>
  </si>
  <si>
    <t>OBS-001</t>
  </si>
  <si>
    <t>STM-1984-DIA</t>
  </si>
  <si>
    <t>DIANA</t>
  </si>
  <si>
    <t>Hapke and Henderson</t>
  </si>
  <si>
    <t>OBS-002</t>
  </si>
  <si>
    <t>OBS-003</t>
  </si>
  <si>
    <t>OBS-004</t>
  </si>
  <si>
    <t>OBS-005</t>
  </si>
  <si>
    <t>STM-1991-BOB</t>
  </si>
  <si>
    <t>BOB</t>
  </si>
  <si>
    <t>OBS-006</t>
  </si>
  <si>
    <t>OBS-007</t>
  </si>
  <si>
    <t>STM-1993-EMI</t>
  </si>
  <si>
    <t>EMILY</t>
  </si>
  <si>
    <t>OBS-008</t>
  </si>
  <si>
    <t>OBS-009</t>
  </si>
  <si>
    <t>NOR-1996-01</t>
  </si>
  <si>
    <t>Jan 1996 Nor'easter</t>
  </si>
  <si>
    <t>Poor</t>
  </si>
  <si>
    <t>OBS-010</t>
  </si>
  <si>
    <t>OBS-011</t>
  </si>
  <si>
    <t>STM-1998-BON</t>
  </si>
  <si>
    <t>BONNIE</t>
  </si>
  <si>
    <t>OBS-012</t>
  </si>
  <si>
    <t>Medium</t>
  </si>
  <si>
    <t>Google Earth</t>
  </si>
  <si>
    <t>Storm Reference  ·  Use this to identify which imagery dates to search for in Google Earth  ·  This sheet is READ ONLY — do not enter data here</t>
  </si>
  <si>
    <t>For each storm below, search Google Earth for the first clear image AFTER the date range ends. Enter that imagery date (not the storm date) as a new row in Overwash_Matrix.</t>
  </si>
  <si>
    <t>Event_ID</t>
  </si>
  <si>
    <t>Type</t>
  </si>
  <si>
    <t>Date_Range</t>
  </si>
  <si>
    <t>Max_Category</t>
  </si>
  <si>
    <t>Expected_Impact</t>
  </si>
  <si>
    <t>Search_GE_After</t>
  </si>
  <si>
    <t>Notes</t>
  </si>
  <si>
    <t>Hurricane</t>
  </si>
  <si>
    <t>Sep 8–16, 1984</t>
  </si>
  <si>
    <t>H4</t>
  </si>
  <si>
    <t>High</t>
  </si>
  <si>
    <t>Sep 16, 1984</t>
  </si>
  <si>
    <t>Direct OBX impact</t>
  </si>
  <si>
    <t>STM-1985-GLO</t>
  </si>
  <si>
    <t>GLORIA</t>
  </si>
  <si>
    <t>Sep 16–Oct 2, 1985</t>
  </si>
  <si>
    <t>Oct 2, 1985</t>
  </si>
  <si>
    <t>H4 peak; weakened to ~Cat 1-2 at OBX</t>
  </si>
  <si>
    <t>STM-1985-KAT</t>
  </si>
  <si>
    <t>KATE</t>
  </si>
  <si>
    <t>Nov 15–23, 1985</t>
  </si>
  <si>
    <t>H3</t>
  </si>
  <si>
    <t>Med</t>
  </si>
  <si>
    <t>Nov 23, 1985</t>
  </si>
  <si>
    <t>Late-season; look for Nov–Dec imagery</t>
  </si>
  <si>
    <t>STM-1986-CHA</t>
  </si>
  <si>
    <t>CHARLEY</t>
  </si>
  <si>
    <t>Aug 13–30, 1986</t>
  </si>
  <si>
    <t>H1</t>
  </si>
  <si>
    <t>Low</t>
  </si>
  <si>
    <t>Aug 30, 1986</t>
  </si>
  <si>
    <t>Weak; may have limited signature</t>
  </si>
  <si>
    <t>STM-1988-ALB</t>
  </si>
  <si>
    <t>ALBERTO</t>
  </si>
  <si>
    <t>Trop Storm</t>
  </si>
  <si>
    <t>Aug 5–8, 1988</t>
  </si>
  <si>
    <t>TS</t>
  </si>
  <si>
    <t>Aug 8, 1988</t>
  </si>
  <si>
    <t>Weak TS; minor impact likely</t>
  </si>
  <si>
    <t>NOR-1991-10</t>
  </si>
  <si>
    <t>Perfect Storm</t>
  </si>
  <si>
    <t>Nor'easter</t>
  </si>
  <si>
    <t>Oct 28–Nov 2, 1991</t>
  </si>
  <si>
    <t>Class 5</t>
  </si>
  <si>
    <t>Nov 2, 1991</t>
  </si>
  <si>
    <t>Major OBX impact; ~2 ft surge</t>
  </si>
  <si>
    <t>Aug 16–29, 1991</t>
  </si>
  <si>
    <t>Aug 29, 1991</t>
  </si>
  <si>
    <t>H3 but tracked north of OBX</t>
  </si>
  <si>
    <t>NOR-1992-12</t>
  </si>
  <si>
    <t>Dec 1992 Nor'easter</t>
  </si>
  <si>
    <t>Dec 10–14, 1992</t>
  </si>
  <si>
    <t>Class 4</t>
  </si>
  <si>
    <t>Dec 14, 1992</t>
  </si>
  <si>
    <t>Blizzard of '92; areas hit again after Perfect Storm</t>
  </si>
  <si>
    <t>NOR-1993-03</t>
  </si>
  <si>
    <t>Storm of the Century</t>
  </si>
  <si>
    <t>Mar 12–15, 1993</t>
  </si>
  <si>
    <t>Mar 15, 1993</t>
  </si>
  <si>
    <t>Hurricane-force gusts; 200 homes damaged OBX</t>
  </si>
  <si>
    <t>Aug 22–Sep 6, 1993</t>
  </si>
  <si>
    <t>Sep 6, 1993</t>
  </si>
  <si>
    <t>Stalled near OBX; prolonged wave exposure</t>
  </si>
  <si>
    <t>Jan 6–8, 1996</t>
  </si>
  <si>
    <t>Jan 8, 1996</t>
  </si>
  <si>
    <t>Blizzard of 1996; significant coastal flooding</t>
  </si>
  <si>
    <t>Aug 19–31, 1998</t>
  </si>
  <si>
    <t>Aug 31, 1998</t>
  </si>
  <si>
    <t>STM-1999-DEN</t>
  </si>
  <si>
    <t>DENNIS</t>
  </si>
  <si>
    <t>Aug 24–Sep 8, 1999</t>
  </si>
  <si>
    <t>H2</t>
  </si>
  <si>
    <t>Sep 8, 1999</t>
  </si>
  <si>
    <t>Stalled offshore for days; prolonged exposure</t>
  </si>
  <si>
    <t>STM-1999-IRE</t>
  </si>
  <si>
    <t>IRENE</t>
  </si>
  <si>
    <t>Oct 12–19, 1999</t>
  </si>
  <si>
    <t>Oct 19, 1999</t>
  </si>
  <si>
    <t>Late season; look Oct–Nov imagery</t>
  </si>
  <si>
    <t>STM-2002-KYL</t>
  </si>
  <si>
    <t>KYLE</t>
  </si>
  <si>
    <t>Sep 20–Oct 12, 2002</t>
  </si>
  <si>
    <t>Oct 12, 2002</t>
  </si>
  <si>
    <t>Very long-lived; extended exposure</t>
  </si>
  <si>
    <t>STM-2003-ISA</t>
  </si>
  <si>
    <t>ISABEL</t>
  </si>
  <si>
    <t>Sep 6–20, 2003</t>
  </si>
  <si>
    <t>H5</t>
  </si>
  <si>
    <t>Sep 20, 2003</t>
  </si>
  <si>
    <t>Direct landfall; inlet opened at Hatteras Village; major overwash expected across most domains</t>
  </si>
  <si>
    <t>STM-2004-ALE</t>
  </si>
  <si>
    <t>ALEX</t>
  </si>
  <si>
    <t>Jul 31–Aug 6, 2004</t>
  </si>
  <si>
    <t>Aug 6, 2004</t>
  </si>
  <si>
    <t>Tracked near OBX</t>
  </si>
  <si>
    <t>STM-2005-OPH</t>
  </si>
  <si>
    <t>OPHELIA</t>
  </si>
  <si>
    <t>Sep 6–23, 2005</t>
  </si>
  <si>
    <t>Sep 23, 2005</t>
  </si>
  <si>
    <t>Stalled near OBX for over a week; sustained wave attack</t>
  </si>
  <si>
    <t>STM-2011-IRE</t>
  </si>
  <si>
    <t>Aug 21–30, 2011</t>
  </si>
  <si>
    <t>Aug 30, 2011</t>
  </si>
  <si>
    <t>New Inlet reopened D84–90; major overwash; look Sep 2011</t>
  </si>
  <si>
    <t>NOR-2012-10</t>
  </si>
  <si>
    <t>SANDY (ET)</t>
  </si>
  <si>
    <t>Extratropical</t>
  </si>
  <si>
    <t>Oct 26–30, 2012</t>
  </si>
  <si>
    <t>ET</t>
  </si>
  <si>
    <t>Oct 30, 2012</t>
  </si>
  <si>
    <t>S-curves (D84–90) washed out; look Nov 2012</t>
  </si>
  <si>
    <t>NOR-2016-01</t>
  </si>
  <si>
    <t>Winter Storm Jonas</t>
  </si>
  <si>
    <t>Jan 22–24, 2016</t>
  </si>
  <si>
    <t>Class 4-5</t>
  </si>
  <si>
    <t>Jan 24, 2016</t>
  </si>
  <si>
    <t>Record OBX coastal flooding; look Jan–Feb 2016</t>
  </si>
  <si>
    <t>STM-2016-HER</t>
  </si>
  <si>
    <t>HERMINE</t>
  </si>
  <si>
    <t>Aug 28–Sep 8, 2016</t>
  </si>
  <si>
    <t>Sep 8, 2016</t>
  </si>
  <si>
    <t>STM-2016-MAT</t>
  </si>
  <si>
    <t>MATTHEW</t>
  </si>
  <si>
    <t>Sep 28–Oct 10, 2016</t>
  </si>
  <si>
    <t>Oct 10, 2016</t>
  </si>
  <si>
    <t>H5 at peak; major OBX impacts; look Oct–Nov 2016</t>
  </si>
  <si>
    <t>NOR-2018-01</t>
  </si>
  <si>
    <t>Jan 2018 Bomb Cyclone</t>
  </si>
  <si>
    <t>Jan 3–5, 2018</t>
  </si>
  <si>
    <t>Jan 5, 2018</t>
  </si>
  <si>
    <t>Gusts 65–70 mph OBX</t>
  </si>
  <si>
    <t>STM-2019-DOR</t>
  </si>
  <si>
    <t>DORIAN</t>
  </si>
  <si>
    <t>Aug 24–Sep 9, 2019</t>
  </si>
  <si>
    <t>Sep 9, 2019</t>
  </si>
  <si>
    <t>NC-12 closed ~3 months; expect major overwash; look Oct 2019</t>
  </si>
  <si>
    <t>STM-2020-TED</t>
  </si>
  <si>
    <t>TEDDY</t>
  </si>
  <si>
    <t>Sep 12–23, 2020</t>
  </si>
  <si>
    <t>Sep 23, 2020</t>
  </si>
  <si>
    <t>Stayed offshore; NC-12 closed Oregon Inlet–Rodanthe</t>
  </si>
  <si>
    <t>NOR-2021-11</t>
  </si>
  <si>
    <t>Nov 2021 storm</t>
  </si>
  <si>
    <t>Nov 2021</t>
  </si>
  <si>
    <t>~Class 3</t>
  </si>
  <si>
    <t>Breach D84–90 between Rodanthe and Oregon Inlet</t>
  </si>
  <si>
    <t>NOR-2022-052</t>
  </si>
  <si>
    <t>May 2022 Nor'easter</t>
  </si>
  <si>
    <t>May 9–11, 2022</t>
  </si>
  <si>
    <t>May 11, 2022</t>
  </si>
  <si>
    <t>Rodanthe house collapses; look D68–83</t>
  </si>
  <si>
    <t>Annual Overwash Frequency  ·  Auto-calculated from Overwash_Matrix  ·  Each cell = number of imagery dates in that year where overwash was observed (value = 1) for that domain</t>
  </si>
  <si>
    <t>Images
Assessed</t>
  </si>
  <si>
    <t>PYTHON WORKFLOW — Hatteras Overwash Matrix → Heatplots</t>
  </si>
  <si>
    <t>Export 'Overwash_Matrix' sheet as CSV from Google Sheets. Requires: pandas, numpy, matplotlib, seaborn</t>
  </si>
  <si>
    <t># ── 0. IMPORTS ──────────────────────────────────────────────────────</t>
  </si>
  <si>
    <t>import pandas as pd</t>
  </si>
  <si>
    <t>import numpy as np</t>
  </si>
  <si>
    <t>import matplotlib.pyplot as plt</t>
  </si>
  <si>
    <t>import matplotlib.colors as mcolors</t>
  </si>
  <si>
    <t>import matplotlib.patches as mpatches</t>
  </si>
  <si>
    <t>import seaborn as sns</t>
  </si>
  <si>
    <t># ── 1. SECTION DEFINITIONS — matches your CASCADE ANN_TOWN_SPANS ────</t>
  </si>
  <si>
    <t>ANN_TOWN_SPANS = {</t>
  </si>
  <si>
    <t xml:space="preserve">    "Cape Point":                 (1,   6),</t>
  </si>
  <si>
    <t xml:space="preserve">    "Buxton":                     (7,   8),</t>
  </si>
  <si>
    <t xml:space="preserve">    "Inter-village: Buxton-Avon": (9,  20),</t>
  </si>
  <si>
    <t xml:space="preserve">    "Avon":                       (21, 31),</t>
  </si>
  <si>
    <t xml:space="preserve">    "Inter-village: Avon-TriVil": (32, 67),  # Wimble Shoals influence zone</t>
  </si>
  <si>
    <t xml:space="preserve">    "Tri-Village":                (68, 83),  # Salvo / Waves / Rodanthe</t>
  </si>
  <si>
    <t xml:space="preserve">    "Pea Island":                 (84, 90),</t>
  </si>
  <si>
    <t>}</t>
  </si>
  <si>
    <t># ── 2. LOAD AND CLEAN DATA ───────────────────────────────────────────</t>
  </si>
  <si>
    <t># When exporting from Google Sheets, skip the first 3 rows (title, guide, section band)</t>
  </si>
  <si>
    <t>df = pd.read_csv('overwash_matrix.csv', skiprows=3)</t>
  </si>
  <si>
    <t>df.columns = df.columns.str.strip()</t>
  </si>
  <si>
    <t>df = df.dropna(subset=['Imagery_Date'])                    # drop blank rows</t>
  </si>
  <si>
    <t>df = df[df['Imagery_Date'].astype(str).str.match(r'\d{4}-\d{2}-\d{2}')]  # valid dates only</t>
  </si>
  <si>
    <t>df['Imagery_Date'] = pd.to_datetime(df['Imagery_Date'])</t>
  </si>
  <si>
    <t>df['Year'] = df['Imagery_Date'].dt.year</t>
  </si>
  <si>
    <t>df = df.sort_values('Imagery_Date').reset_index(drop=True)</t>
  </si>
  <si>
    <t>domain_cols = [str(d) for d in range(1, 91)]</t>
  </si>
  <si>
    <t>domain_data = df[domain_cols].apply(pd.to_numeric, errors='coerce')  # blanks → NaN</t>
  </si>
  <si>
    <t># ── 3. SECTION LINE HELPER ───────────────────────────────────────────</t>
  </si>
  <si>
    <t>def add_section_lines(ax, df_cols, label=True, label_y=-0.02):</t>
  </si>
  <si>
    <t xml:space="preserve">    colors = ['#F4CCCC','#FCE5CD','#FFF2CC','#D9EAD3','#D0E4F7','#D9D2E9','#F3F3F3']</t>
  </si>
  <si>
    <t xml:space="preserve">    for i, (sec, (lo, hi)) in enumerate(ANN_TOWN_SPANS.items()):</t>
  </si>
  <si>
    <t xml:space="preserve">        lo_idx = df_cols.index(str(lo)) if str(lo) in df_cols else lo-1</t>
  </si>
  <si>
    <t xml:space="preserve">        hi_idx = df_cols.index(str(hi)) if str(hi) in df_cols else hi-1</t>
  </si>
  <si>
    <t xml:space="preserve">        mid = (lo_idx + hi_idx) / 2</t>
  </si>
  <si>
    <t xml:space="preserve">        ax.axvline(x=lo_idx-0.5, color='white', linewidth=2, zorder=3)</t>
  </si>
  <si>
    <t xml:space="preserve">        if label:</t>
  </si>
  <si>
    <t xml:space="preserve">            ax.text(mid, label_y, sec, ha='center', va='top', fontsize=7,</t>
  </si>
  <si>
    <t xml:space="preserve">                    rotation=35, transform=ax.get_xaxis_transform(), clip_on=False)</t>
  </si>
  <si>
    <t># ── 4. PLOT A: RAW BINARY HEATMAP ────────────────────────────────────</t>
  </si>
  <si>
    <t>cmap_bin = mcolors.ListedColormap(['white', 'darkorange'])</t>
  </si>
  <si>
    <t>norm_bin = mcolors.BoundaryNorm([0, 0.5, 1], cmap_bin.N)</t>
  </si>
  <si>
    <t>fig, ax = plt.subplots(figsize=(18, max(6, len(df) * 0.35)))</t>
  </si>
  <si>
    <t>ax.set_facecolor('#BBBBBB')          # grey background = NaN / not assessed</t>
  </si>
  <si>
    <t>im = ax.imshow(domain_data.values, aspect='auto', cmap=cmap_bin, norm=norm_bin, interpolation='none')</t>
  </si>
  <si>
    <t>ax.set_xticks(range(0, 90, 5))</t>
  </si>
  <si>
    <t>ax.set_xticklabels(range(1, 91, 5), fontsize=8)</t>
  </si>
  <si>
    <t>ax.set_yticks(range(len(df)))</t>
  </si>
  <si>
    <t>ax.set_yticklabels(df['Imagery_Date'].dt.strftime('%Y-%m-%d'), fontsize=7)</t>
  </si>
  <si>
    <t>ax.set_xlabel('CASCADE Domain  (1 = Cape Point  →  90 = Pea Island)', fontsize=10)</t>
  </si>
  <si>
    <t>ax.set_ylabel('Imagery Date', fontsize=10)</t>
  </si>
  <si>
    <t>ax.set_title('Hatteras Island Overwash Observations 1984–2024', fontsize=12, fontweight='bold')</t>
  </si>
  <si>
    <t>add_section_lines(ax, domain_cols, label=True)</t>
  </si>
  <si>
    <t>legend_handles = [mpatches.Patch(color='darkorange', label='Overwash present (1)'),</t>
  </si>
  <si>
    <t xml:space="preserve">                  mpatches.Patch(color='white', label='No overwash — assessed (0)'),</t>
  </si>
  <si>
    <t xml:space="preserve">                  mpatches.Patch(color='#BBBBBB', label='Not assessed (blank)')]</t>
  </si>
  <si>
    <t>ax.legend(handles=legend_handles, loc='lower right', fontsize=8, framealpha=0.9)</t>
  </si>
  <si>
    <t>plt.tight_layout(); plt.savefig('overwash_binary_heatmap.png', dpi=200); plt.show()</t>
  </si>
  <si>
    <t># ── 5. ANNUAL FREQUENCY ──────────────────────────────────────────────</t>
  </si>
  <si>
    <t>domain_data_yr = domain_data.copy()</t>
  </si>
  <si>
    <t>domain_data_yr['Year'] = df['Year'].values</t>
  </si>
  <si>
    <t>annual = domain_data_yr.groupby('Year')[domain_cols].sum(min_count=1)</t>
  </si>
  <si>
    <t>annual = annual.reindex(range(1984, 2025))   # fill missing years with NaN</t>
  </si>
  <si>
    <t>annual.columns = [int(c) for c in annual.columns]</t>
  </si>
  <si>
    <t># ── 6. PLOT B: ANNUAL FREQUENCY HEATMAP ──────────────────────────────</t>
  </si>
  <si>
    <t>fig, ax = plt.subplots(figsize=(18, 11))</t>
  </si>
  <si>
    <t>sns.heatmap(annual, ax=ax, cmap='YlOrRd', linewidths=0.2, linecolor='white',</t>
  </si>
  <si>
    <t xml:space="preserve">            cbar_kws={'label': 'Overwash events observed per year', 'shrink': 0.6},</t>
  </si>
  <si>
    <t xml:space="preserve">            xticklabels=5, yticklabels=True, mask=annual.isnull())</t>
  </si>
  <si>
    <t>ax.set_ylabel('Year', fontsize=10)</t>
  </si>
  <si>
    <t>ax.set_title('Hatteras Island Annual Overwash Frequency by CASCADE Domain  1984–2024',</t>
  </si>
  <si>
    <t xml:space="preserve">             fontsize=12, fontweight='bold')</t>
  </si>
  <si>
    <t>add_section_lines(ax, [str(c) for c in annual.columns], label=True)</t>
  </si>
  <si>
    <t>plt.tight_layout(); plt.savefig('overwash_annual_frequency_heatmap.png', dpi=200); plt.show()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</si>
</sst>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9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8.0"/>
      <color rgb="FF1F4E79"/>
      <name val="Arial"/>
    </font>
    <font>
      <sz val="11.0"/>
      <color theme="1"/>
      <name val="Calibri"/>
    </font>
    <font>
      <b/>
      <sz val="7.0"/>
      <color rgb="FF333333"/>
      <name val="Arial"/>
    </font>
    <font>
      <b/>
      <sz val="9.0"/>
      <color rgb="FFFFFFFF"/>
      <name val="Arial"/>
    </font>
    <font>
      <b/>
      <sz val="8.0"/>
      <color rgb="FF222222"/>
      <name val="Arial"/>
    </font>
    <font>
      <sz val="9.0"/>
      <color rgb="FF000000"/>
      <name val="Arial"/>
    </font>
    <font>
      <i/>
      <sz val="9.0"/>
      <color rgb="FFAAAAAA"/>
      <name val="Arial"/>
    </font>
    <font>
      <sz val="9.0"/>
      <color rgb="FF555555"/>
      <name val="Arial"/>
    </font>
    <font>
      <sz val="9.0"/>
      <color theme="1"/>
      <name val="Arial"/>
    </font>
    <font>
      <sz val="9.0"/>
      <color rgb="FF888888"/>
      <name val="Arial"/>
    </font>
    <font>
      <b/>
      <sz val="11.0"/>
      <color rgb="FFFFFFFF"/>
      <name val="Arial"/>
    </font>
    <font>
      <i/>
      <sz val="9.0"/>
      <color rgb="FF1F4E79"/>
      <name val="Arial"/>
    </font>
    <font>
      <b/>
      <sz val="9.0"/>
      <color theme="1"/>
      <name val="Arial"/>
    </font>
    <font>
      <sz val="9.0"/>
      <color rgb="FF444444"/>
      <name val="Arial"/>
    </font>
    <font>
      <sz val="9.0"/>
      <color rgb="FF1F4E79"/>
      <name val="Arial"/>
    </font>
    <font>
      <sz val="9.0"/>
      <color rgb="FF000000"/>
      <name val="Courier New"/>
    </font>
  </fonts>
  <fills count="1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EBEBEB"/>
        <bgColor rgb="FFEBEBEB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4F7"/>
        <bgColor rgb="FFD0E4F7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EFEFE"/>
        <bgColor rgb="FFFEFEFE"/>
      </patternFill>
    </fill>
    <fill>
      <patternFill patternType="solid">
        <fgColor rgb="FFCFE2F3"/>
        <bgColor rgb="FFCFE2F3"/>
      </patternFill>
    </fill>
    <fill>
      <patternFill patternType="solid">
        <fgColor rgb="FFE8F4FD"/>
        <bgColor rgb="FFE8F4FD"/>
      </patternFill>
    </fill>
    <fill>
      <patternFill patternType="solid">
        <fgColor rgb="FFD6E4F0"/>
        <bgColor rgb="FFD6E4F0"/>
      </patternFill>
    </fill>
    <fill>
      <patternFill patternType="solid">
        <fgColor rgb="FFC8DCF0"/>
        <bgColor rgb="FFC8DCF0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hair">
        <color rgb="FFDDDDDD"/>
      </right>
      <top style="thin">
        <color rgb="FFCCCCCC"/>
      </top>
      <bottom style="thin">
        <color rgb="FFCCCCCC"/>
      </bottom>
    </border>
    <border>
      <left style="hair">
        <color rgb="FFDDDDDD"/>
      </left>
      <right style="hair">
        <color rgb="FFDDDDDD"/>
      </right>
      <top style="thin">
        <color rgb="FFCCCCCC"/>
      </top>
      <bottom style="thin">
        <color rgb="FFCCCCCC"/>
      </bottom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Border="1" applyFill="1" applyFont="1"/>
    <xf borderId="4" fillId="4" fontId="4" numFmtId="0" xfId="0" applyAlignment="1" applyBorder="1" applyFont="1">
      <alignment shrinkToFit="0" wrapText="1"/>
    </xf>
    <xf borderId="5" fillId="5" fontId="5" numFmtId="0" xfId="0" applyAlignment="1" applyBorder="1" applyFill="1" applyFont="1">
      <alignment horizontal="left" vertical="center"/>
    </xf>
    <xf borderId="6" fillId="5" fontId="5" numFmtId="0" xfId="0" applyAlignment="1" applyBorder="1" applyFont="1">
      <alignment horizontal="left" vertical="center"/>
    </xf>
    <xf borderId="5" fillId="6" fontId="5" numFmtId="0" xfId="0" applyAlignment="1" applyBorder="1" applyFill="1" applyFont="1">
      <alignment horizontal="left" vertical="center"/>
    </xf>
    <xf borderId="6" fillId="6" fontId="5" numFmtId="0" xfId="0" applyAlignment="1" applyBorder="1" applyFont="1">
      <alignment horizontal="left" vertical="center"/>
    </xf>
    <xf borderId="5" fillId="7" fontId="5" numFmtId="0" xfId="0" applyAlignment="1" applyBorder="1" applyFill="1" applyFont="1">
      <alignment horizontal="left" vertical="center"/>
    </xf>
    <xf borderId="6" fillId="7" fontId="5" numFmtId="0" xfId="0" applyAlignment="1" applyBorder="1" applyFont="1">
      <alignment horizontal="left" vertical="center"/>
    </xf>
    <xf borderId="5" fillId="8" fontId="5" numFmtId="0" xfId="0" applyAlignment="1" applyBorder="1" applyFill="1" applyFont="1">
      <alignment horizontal="left" vertical="center"/>
    </xf>
    <xf borderId="6" fillId="8" fontId="5" numFmtId="0" xfId="0" applyAlignment="1" applyBorder="1" applyFont="1">
      <alignment horizontal="left" vertical="center"/>
    </xf>
    <xf borderId="5" fillId="9" fontId="5" numFmtId="0" xfId="0" applyAlignment="1" applyBorder="1" applyFill="1" applyFont="1">
      <alignment horizontal="left" vertical="center"/>
    </xf>
    <xf borderId="6" fillId="9" fontId="5" numFmtId="0" xfId="0" applyAlignment="1" applyBorder="1" applyFont="1">
      <alignment horizontal="left" vertical="center"/>
    </xf>
    <xf borderId="5" fillId="10" fontId="5" numFmtId="0" xfId="0" applyAlignment="1" applyBorder="1" applyFill="1" applyFont="1">
      <alignment horizontal="left" vertical="center"/>
    </xf>
    <xf borderId="6" fillId="10" fontId="5" numFmtId="0" xfId="0" applyAlignment="1" applyBorder="1" applyFont="1">
      <alignment horizontal="left" vertical="center"/>
    </xf>
    <xf borderId="5" fillId="11" fontId="5" numFmtId="0" xfId="0" applyAlignment="1" applyBorder="1" applyFill="1" applyFont="1">
      <alignment horizontal="left" vertical="center"/>
    </xf>
    <xf borderId="6" fillId="11" fontId="5" numFmtId="0" xfId="0" applyAlignment="1" applyBorder="1" applyFont="1">
      <alignment horizontal="left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vertical="center"/>
    </xf>
    <xf borderId="5" fillId="6" fontId="7" numFmtId="0" xfId="0" applyAlignment="1" applyBorder="1" applyFont="1">
      <alignment horizontal="center" vertical="center"/>
    </xf>
    <xf borderId="6" fillId="6" fontId="7" numFmtId="0" xfId="0" applyAlignment="1" applyBorder="1" applyFont="1">
      <alignment horizontal="center" vertical="center"/>
    </xf>
    <xf borderId="5" fillId="7" fontId="7" numFmtId="0" xfId="0" applyAlignment="1" applyBorder="1" applyFont="1">
      <alignment horizontal="center" vertical="center"/>
    </xf>
    <xf borderId="6" fillId="7" fontId="7" numFmtId="0" xfId="0" applyAlignment="1" applyBorder="1" applyFont="1">
      <alignment horizontal="center" vertical="center"/>
    </xf>
    <xf borderId="5" fillId="8" fontId="7" numFmtId="0" xfId="0" applyAlignment="1" applyBorder="1" applyFont="1">
      <alignment horizontal="center" vertical="center"/>
    </xf>
    <xf borderId="6" fillId="8" fontId="7" numFmtId="0" xfId="0" applyAlignment="1" applyBorder="1" applyFont="1">
      <alignment horizontal="center" vertical="center"/>
    </xf>
    <xf borderId="5" fillId="9" fontId="7" numFmtId="0" xfId="0" applyAlignment="1" applyBorder="1" applyFont="1">
      <alignment horizontal="center" vertical="center"/>
    </xf>
    <xf borderId="6" fillId="9" fontId="7" numFmtId="0" xfId="0" applyAlignment="1" applyBorder="1" applyFont="1">
      <alignment horizontal="center" vertical="center"/>
    </xf>
    <xf borderId="5" fillId="10" fontId="7" numFmtId="0" xfId="0" applyAlignment="1" applyBorder="1" applyFont="1">
      <alignment horizontal="center" vertical="center"/>
    </xf>
    <xf borderId="6" fillId="10" fontId="7" numFmtId="0" xfId="0" applyAlignment="1" applyBorder="1" applyFont="1">
      <alignment horizontal="center" vertical="center"/>
    </xf>
    <xf borderId="5" fillId="11" fontId="7" numFmtId="0" xfId="0" applyAlignment="1" applyBorder="1" applyFont="1">
      <alignment horizontal="center" vertical="center"/>
    </xf>
    <xf borderId="6" fillId="11" fontId="7" numFmtId="0" xfId="0" applyAlignment="1" applyBorder="1" applyFont="1">
      <alignment horizontal="center" vertical="center"/>
    </xf>
    <xf borderId="4" fillId="12" fontId="8" numFmtId="0" xfId="0" applyAlignment="1" applyBorder="1" applyFill="1" applyFont="1">
      <alignment horizontal="center" vertical="center"/>
    </xf>
    <xf borderId="4" fillId="12" fontId="9" numFmtId="164" xfId="0" applyAlignment="1" applyBorder="1" applyFont="1" applyNumberFormat="1">
      <alignment horizontal="left" readingOrder="0" vertical="center"/>
    </xf>
    <xf borderId="4" fillId="12" fontId="10" numFmtId="0" xfId="0" applyAlignment="1" applyBorder="1" applyFont="1">
      <alignment horizontal="center" vertical="center"/>
    </xf>
    <xf borderId="4" fillId="12" fontId="8" numFmtId="0" xfId="0" applyAlignment="1" applyBorder="1" applyFont="1">
      <alignment horizontal="left" vertical="center"/>
    </xf>
    <xf borderId="4" fillId="12" fontId="8" numFmtId="0" xfId="0" applyAlignment="1" applyBorder="1" applyFont="1">
      <alignment horizontal="left" readingOrder="0" vertical="center"/>
    </xf>
    <xf borderId="4" fillId="12" fontId="8" numFmtId="0" xfId="0" applyAlignment="1" applyBorder="1" applyFont="1">
      <alignment horizontal="left" readingOrder="0" shrinkToFit="0" vertical="center" wrapText="1"/>
    </xf>
    <xf borderId="7" fillId="13" fontId="11" numFmtId="0" xfId="0" applyAlignment="1" applyBorder="1" applyFill="1" applyFont="1">
      <alignment horizontal="center" readingOrder="0" vertical="center"/>
    </xf>
    <xf borderId="4" fillId="12" fontId="8" numFmtId="0" xfId="0" applyAlignment="1" applyBorder="1" applyFont="1">
      <alignment horizontal="center" readingOrder="0" vertical="center"/>
    </xf>
    <xf borderId="4" fillId="12" fontId="11" numFmtId="0" xfId="0" applyBorder="1" applyFont="1"/>
    <xf borderId="4" fillId="12" fontId="11" numFmtId="0" xfId="0" applyAlignment="1" applyBorder="1" applyFont="1">
      <alignment readingOrder="0"/>
    </xf>
    <xf borderId="7" fillId="12" fontId="11" numFmtId="0" xfId="0" applyAlignment="1" applyBorder="1" applyFont="1">
      <alignment horizontal="center" readingOrder="0" vertical="center"/>
    </xf>
    <xf borderId="4" fillId="13" fontId="11" numFmtId="0" xfId="0" applyBorder="1" applyFont="1"/>
    <xf borderId="4" fillId="13" fontId="11" numFmtId="0" xfId="0" applyAlignment="1" applyBorder="1" applyFont="1">
      <alignment readingOrder="0"/>
    </xf>
    <xf borderId="4" fillId="13" fontId="11" numFmtId="0" xfId="0" applyAlignment="1" applyBorder="1" applyFont="1">
      <alignment readingOrder="0" shrinkToFit="0" wrapText="1"/>
    </xf>
    <xf borderId="4" fillId="12" fontId="12" numFmtId="0" xfId="0" applyAlignment="1" applyBorder="1" applyFont="1">
      <alignment horizontal="center" vertical="center"/>
    </xf>
    <xf borderId="4" fillId="12" fontId="11" numFmtId="0" xfId="0" applyAlignment="1" applyBorder="1" applyFont="1">
      <alignment shrinkToFit="0" wrapText="1"/>
    </xf>
    <xf borderId="7" fillId="12" fontId="11" numFmtId="0" xfId="0" applyAlignment="1" applyBorder="1" applyFont="1">
      <alignment horizontal="center" vertical="center"/>
    </xf>
    <xf borderId="4" fillId="13" fontId="12" numFmtId="0" xfId="0" applyAlignment="1" applyBorder="1" applyFont="1">
      <alignment horizontal="center" vertical="center"/>
    </xf>
    <xf borderId="4" fillId="13" fontId="10" numFmtId="0" xfId="0" applyAlignment="1" applyBorder="1" applyFont="1">
      <alignment horizontal="center" vertical="center"/>
    </xf>
    <xf borderId="4" fillId="13" fontId="11" numFmtId="0" xfId="0" applyAlignment="1" applyBorder="1" applyFont="1">
      <alignment shrinkToFit="0" wrapText="1"/>
    </xf>
    <xf borderId="7" fillId="13" fontId="11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left" vertical="center"/>
    </xf>
    <xf borderId="1" fillId="3" fontId="14" numFmtId="0" xfId="0" applyAlignment="1" applyBorder="1" applyFont="1">
      <alignment horizontal="left" vertical="center"/>
    </xf>
    <xf borderId="4" fillId="5" fontId="11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left" vertical="center"/>
    </xf>
    <xf borderId="4" fillId="6" fontId="1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left" vertical="center"/>
    </xf>
    <xf borderId="4" fillId="7" fontId="11" numFmtId="0" xfId="0" applyAlignment="1" applyBorder="1" applyFont="1">
      <alignment horizontal="center" vertical="center"/>
    </xf>
    <xf borderId="4" fillId="7" fontId="11" numFmtId="0" xfId="0" applyAlignment="1" applyBorder="1" applyFont="1">
      <alignment horizontal="left" vertical="center"/>
    </xf>
    <xf borderId="4" fillId="14" fontId="11" numFmtId="0" xfId="0" applyAlignment="1" applyBorder="1" applyFill="1" applyFont="1">
      <alignment horizontal="center" vertical="center"/>
    </xf>
    <xf borderId="4" fillId="14" fontId="11" numFmtId="0" xfId="0" applyAlignment="1" applyBorder="1" applyFont="1">
      <alignment horizontal="left" vertical="center"/>
    </xf>
    <xf borderId="4" fillId="15" fontId="11" numFmtId="0" xfId="0" applyAlignment="1" applyBorder="1" applyFill="1" applyFont="1">
      <alignment horizontal="center" vertical="center"/>
    </xf>
    <xf borderId="4" fillId="15" fontId="11" numFmtId="0" xfId="0" applyAlignment="1" applyBorder="1" applyFont="1">
      <alignment horizontal="left" vertical="center"/>
    </xf>
    <xf borderId="4" fillId="16" fontId="11" numFmtId="0" xfId="0" applyAlignment="1" applyBorder="1" applyFill="1" applyFont="1">
      <alignment horizontal="center" vertical="center"/>
    </xf>
    <xf borderId="4" fillId="16" fontId="11" numFmtId="0" xfId="0" applyAlignment="1" applyBorder="1" applyFont="1">
      <alignment horizontal="left" vertical="center"/>
    </xf>
    <xf borderId="4" fillId="5" fontId="5" numFmtId="0" xfId="0" applyAlignment="1" applyBorder="1" applyFont="1">
      <alignment horizontal="left" vertical="center"/>
    </xf>
    <xf borderId="4" fillId="6" fontId="5" numFmtId="0" xfId="0" applyAlignment="1" applyBorder="1" applyFont="1">
      <alignment horizontal="left" vertical="center"/>
    </xf>
    <xf borderId="4" fillId="7" fontId="5" numFmtId="0" xfId="0" applyAlignment="1" applyBorder="1" applyFont="1">
      <alignment horizontal="left" vertical="center"/>
    </xf>
    <xf borderId="4" fillId="8" fontId="5" numFmtId="0" xfId="0" applyAlignment="1" applyBorder="1" applyFont="1">
      <alignment horizontal="left" vertical="center"/>
    </xf>
    <xf borderId="4" fillId="9" fontId="5" numFmtId="0" xfId="0" applyAlignment="1" applyBorder="1" applyFont="1">
      <alignment horizontal="left" vertical="center"/>
    </xf>
    <xf borderId="4" fillId="10" fontId="5" numFmtId="0" xfId="0" applyAlignment="1" applyBorder="1" applyFont="1">
      <alignment horizontal="left" vertical="center"/>
    </xf>
    <xf borderId="4" fillId="11" fontId="5" numFmtId="0" xfId="0" applyAlignment="1" applyBorder="1" applyFont="1">
      <alignment horizontal="left" vertical="center"/>
    </xf>
    <xf borderId="4" fillId="5" fontId="7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center" vertical="center"/>
    </xf>
    <xf borderId="4" fillId="8" fontId="7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vertical="center"/>
    </xf>
    <xf borderId="4" fillId="10" fontId="7" numFmtId="0" xfId="0" applyAlignment="1" applyBorder="1" applyFont="1">
      <alignment horizontal="center" vertical="center"/>
    </xf>
    <xf borderId="4" fillId="11" fontId="7" numFmtId="0" xfId="0" applyAlignment="1" applyBorder="1" applyFont="1">
      <alignment horizontal="center" vertical="center"/>
    </xf>
    <xf borderId="4" fillId="17" fontId="15" numFmtId="0" xfId="0" applyAlignment="1" applyBorder="1" applyFill="1" applyFont="1">
      <alignment horizontal="center" vertical="center"/>
    </xf>
    <xf borderId="4" fillId="17" fontId="16" numFmtId="0" xfId="0" applyAlignment="1" applyBorder="1" applyFont="1">
      <alignment horizontal="center" vertical="center"/>
    </xf>
    <xf borderId="4" fillId="18" fontId="15" numFmtId="0" xfId="0" applyAlignment="1" applyBorder="1" applyFill="1" applyFont="1">
      <alignment horizontal="center" vertical="center"/>
    </xf>
    <xf borderId="4" fillId="18" fontId="1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left" vertical="center"/>
    </xf>
    <xf borderId="4" fillId="17" fontId="17" numFmtId="0" xfId="0" applyAlignment="1" applyBorder="1" applyFont="1">
      <alignment horizontal="left" vertical="center"/>
    </xf>
    <xf borderId="4" fillId="13" fontId="8" numFmtId="0" xfId="0" applyAlignment="1" applyBorder="1" applyFont="1">
      <alignment horizontal="left" vertical="center"/>
    </xf>
    <xf borderId="4" fillId="11" fontId="18" numFmtId="0" xfId="0" applyAlignment="1" applyBorder="1" applyFont="1">
      <alignment horizontal="left" vertical="center"/>
    </xf>
    <xf borderId="4" fillId="13" fontId="18" numFmtId="0" xfId="0" applyAlignment="1" applyBorder="1" applyFont="1">
      <alignment horizontal="left" vertical="center"/>
    </xf>
    <xf borderId="4" fillId="8" fontId="18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1" width="7.0"/>
    <col customWidth="1" min="2" max="2" width="14.0"/>
    <col customWidth="1" min="3" max="3" width="6.0"/>
    <col customWidth="1" min="4" max="4" width="9.0"/>
    <col customWidth="1" min="5" max="5" width="16.0"/>
    <col customWidth="1" min="6" max="6" width="14.0"/>
    <col customWidth="1" min="7" max="7" width="12.0"/>
    <col customWidth="1" min="8" max="8" width="8.14"/>
    <col customWidth="1" min="9" max="98" width="3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3"/>
    </row>
    <row r="2" ht="31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3"/>
    </row>
    <row r="3" ht="13.5" customHeight="1">
      <c r="A3" s="5"/>
      <c r="B3" s="5"/>
      <c r="C3" s="5"/>
      <c r="D3" s="5"/>
      <c r="E3" s="5"/>
      <c r="F3" s="5"/>
      <c r="G3" s="5"/>
      <c r="H3" s="6"/>
      <c r="I3" s="7" t="s">
        <v>2</v>
      </c>
      <c r="J3" s="8"/>
      <c r="K3" s="8"/>
      <c r="L3" s="8"/>
      <c r="M3" s="8"/>
      <c r="N3" s="8"/>
      <c r="O3" s="9" t="s">
        <v>3</v>
      </c>
      <c r="P3" s="10"/>
      <c r="Q3" s="11" t="s">
        <v>4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 t="s">
        <v>5</v>
      </c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5" t="s">
        <v>6</v>
      </c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7" t="s">
        <v>7</v>
      </c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9" t="s">
        <v>8</v>
      </c>
      <c r="CO3" s="20"/>
      <c r="CP3" s="20"/>
      <c r="CQ3" s="20"/>
      <c r="CR3" s="20"/>
      <c r="CS3" s="20"/>
      <c r="CT3" s="20"/>
    </row>
    <row r="4" ht="33.75" customHeight="1">
      <c r="A4" s="21" t="s">
        <v>9</v>
      </c>
      <c r="B4" s="21" t="s">
        <v>10</v>
      </c>
      <c r="C4" s="21" t="s">
        <v>11</v>
      </c>
      <c r="D4" s="21" t="s">
        <v>12</v>
      </c>
      <c r="E4" s="21" t="s">
        <v>13</v>
      </c>
      <c r="F4" s="21" t="s">
        <v>14</v>
      </c>
      <c r="G4" s="21" t="s">
        <v>15</v>
      </c>
      <c r="H4" s="22" t="s">
        <v>16</v>
      </c>
      <c r="I4" s="23">
        <v>1.0</v>
      </c>
      <c r="J4" s="24">
        <v>2.0</v>
      </c>
      <c r="K4" s="24">
        <v>3.0</v>
      </c>
      <c r="L4" s="24">
        <v>4.0</v>
      </c>
      <c r="M4" s="24">
        <v>5.0</v>
      </c>
      <c r="N4" s="24">
        <v>6.0</v>
      </c>
      <c r="O4" s="25">
        <v>7.0</v>
      </c>
      <c r="P4" s="26">
        <v>8.0</v>
      </c>
      <c r="Q4" s="27">
        <v>9.0</v>
      </c>
      <c r="R4" s="28">
        <v>10.0</v>
      </c>
      <c r="S4" s="28">
        <v>11.0</v>
      </c>
      <c r="T4" s="28">
        <v>12.0</v>
      </c>
      <c r="U4" s="28">
        <v>13.0</v>
      </c>
      <c r="V4" s="28">
        <v>14.0</v>
      </c>
      <c r="W4" s="28">
        <v>15.0</v>
      </c>
      <c r="X4" s="28">
        <v>16.0</v>
      </c>
      <c r="Y4" s="28">
        <v>17.0</v>
      </c>
      <c r="Z4" s="28">
        <v>18.0</v>
      </c>
      <c r="AA4" s="28">
        <v>19.0</v>
      </c>
      <c r="AB4" s="28">
        <v>20.0</v>
      </c>
      <c r="AC4" s="29">
        <v>21.0</v>
      </c>
      <c r="AD4" s="30">
        <v>22.0</v>
      </c>
      <c r="AE4" s="30">
        <v>23.0</v>
      </c>
      <c r="AF4" s="30">
        <v>24.0</v>
      </c>
      <c r="AG4" s="30">
        <v>25.0</v>
      </c>
      <c r="AH4" s="30">
        <v>26.0</v>
      </c>
      <c r="AI4" s="30">
        <v>27.0</v>
      </c>
      <c r="AJ4" s="30">
        <v>28.0</v>
      </c>
      <c r="AK4" s="30">
        <v>29.0</v>
      </c>
      <c r="AL4" s="30">
        <v>30.0</v>
      </c>
      <c r="AM4" s="30">
        <v>31.0</v>
      </c>
      <c r="AN4" s="31">
        <v>32.0</v>
      </c>
      <c r="AO4" s="32">
        <v>33.0</v>
      </c>
      <c r="AP4" s="32">
        <v>34.0</v>
      </c>
      <c r="AQ4" s="32">
        <v>35.0</v>
      </c>
      <c r="AR4" s="32">
        <v>36.0</v>
      </c>
      <c r="AS4" s="32">
        <v>37.0</v>
      </c>
      <c r="AT4" s="32">
        <v>38.0</v>
      </c>
      <c r="AU4" s="32">
        <v>39.0</v>
      </c>
      <c r="AV4" s="32">
        <v>40.0</v>
      </c>
      <c r="AW4" s="32">
        <v>41.0</v>
      </c>
      <c r="AX4" s="32">
        <v>42.0</v>
      </c>
      <c r="AY4" s="32">
        <v>43.0</v>
      </c>
      <c r="AZ4" s="32">
        <v>44.0</v>
      </c>
      <c r="BA4" s="32">
        <v>45.0</v>
      </c>
      <c r="BB4" s="32">
        <v>46.0</v>
      </c>
      <c r="BC4" s="32">
        <v>47.0</v>
      </c>
      <c r="BD4" s="32">
        <v>48.0</v>
      </c>
      <c r="BE4" s="32">
        <v>49.0</v>
      </c>
      <c r="BF4" s="32">
        <v>50.0</v>
      </c>
      <c r="BG4" s="32">
        <v>51.0</v>
      </c>
      <c r="BH4" s="32">
        <v>52.0</v>
      </c>
      <c r="BI4" s="32">
        <v>53.0</v>
      </c>
      <c r="BJ4" s="32">
        <v>54.0</v>
      </c>
      <c r="BK4" s="32">
        <v>55.0</v>
      </c>
      <c r="BL4" s="32">
        <v>56.0</v>
      </c>
      <c r="BM4" s="32">
        <v>57.0</v>
      </c>
      <c r="BN4" s="32">
        <v>58.0</v>
      </c>
      <c r="BO4" s="32">
        <v>59.0</v>
      </c>
      <c r="BP4" s="32">
        <v>60.0</v>
      </c>
      <c r="BQ4" s="32">
        <v>61.0</v>
      </c>
      <c r="BR4" s="32">
        <v>62.0</v>
      </c>
      <c r="BS4" s="32">
        <v>63.0</v>
      </c>
      <c r="BT4" s="32">
        <v>64.0</v>
      </c>
      <c r="BU4" s="32">
        <v>65.0</v>
      </c>
      <c r="BV4" s="32">
        <v>66.0</v>
      </c>
      <c r="BW4" s="32">
        <v>67.0</v>
      </c>
      <c r="BX4" s="33">
        <v>68.0</v>
      </c>
      <c r="BY4" s="34">
        <v>69.0</v>
      </c>
      <c r="BZ4" s="34">
        <v>70.0</v>
      </c>
      <c r="CA4" s="34">
        <v>71.0</v>
      </c>
      <c r="CB4" s="34">
        <v>72.0</v>
      </c>
      <c r="CC4" s="34">
        <v>73.0</v>
      </c>
      <c r="CD4" s="34">
        <v>74.0</v>
      </c>
      <c r="CE4" s="34">
        <v>75.0</v>
      </c>
      <c r="CF4" s="34">
        <v>76.0</v>
      </c>
      <c r="CG4" s="34">
        <v>77.0</v>
      </c>
      <c r="CH4" s="34">
        <v>78.0</v>
      </c>
      <c r="CI4" s="34">
        <v>79.0</v>
      </c>
      <c r="CJ4" s="34">
        <v>80.0</v>
      </c>
      <c r="CK4" s="34">
        <v>81.0</v>
      </c>
      <c r="CL4" s="34">
        <v>82.0</v>
      </c>
      <c r="CM4" s="34">
        <v>83.0</v>
      </c>
      <c r="CN4" s="35">
        <v>84.0</v>
      </c>
      <c r="CO4" s="36">
        <v>85.0</v>
      </c>
      <c r="CP4" s="36">
        <v>86.0</v>
      </c>
      <c r="CQ4" s="36">
        <v>87.0</v>
      </c>
      <c r="CR4" s="36">
        <v>88.0</v>
      </c>
      <c r="CS4" s="36">
        <v>89.0</v>
      </c>
      <c r="CT4" s="36">
        <v>90.0</v>
      </c>
    </row>
    <row r="5" ht="15.75" customHeight="1">
      <c r="A5" s="37" t="s">
        <v>17</v>
      </c>
      <c r="B5" s="38">
        <v>30944.0</v>
      </c>
      <c r="C5" s="39">
        <f t="shared" ref="C5:C500" si="1">IF(B5="","",YEAR(B5))</f>
        <v>1984</v>
      </c>
      <c r="D5" s="39" t="str">
        <f t="shared" ref="D5:D500" si="2">IF(B5="","",IF(MONTH(B5)&lt;=2,"Winter",IF(MONTH(B5)&lt;=5,"Spring",IF(MONTH(B5)&lt;=8,"Summer","Fall"))))</f>
        <v>Fall</v>
      </c>
      <c r="E5" s="40" t="s">
        <v>18</v>
      </c>
      <c r="F5" s="40" t="s">
        <v>19</v>
      </c>
      <c r="G5" s="41"/>
      <c r="H5" s="42" t="s">
        <v>20</v>
      </c>
      <c r="I5" s="43">
        <v>0.0</v>
      </c>
      <c r="J5" s="43">
        <v>0.0</v>
      </c>
      <c r="K5" s="43">
        <v>0.0</v>
      </c>
      <c r="L5" s="43">
        <v>0.0</v>
      </c>
      <c r="M5" s="43">
        <v>0.0</v>
      </c>
      <c r="N5" s="43">
        <v>0.0</v>
      </c>
      <c r="O5" s="43">
        <v>0.0</v>
      </c>
      <c r="P5" s="43">
        <v>0.0</v>
      </c>
      <c r="Q5" s="43">
        <v>0.0</v>
      </c>
      <c r="R5" s="43">
        <v>0.0</v>
      </c>
      <c r="S5" s="43">
        <v>0.0</v>
      </c>
      <c r="T5" s="43">
        <v>0.0</v>
      </c>
      <c r="U5" s="43">
        <v>0.0</v>
      </c>
      <c r="V5" s="43">
        <v>0.0</v>
      </c>
      <c r="W5" s="43">
        <v>0.0</v>
      </c>
      <c r="X5" s="43">
        <v>0.0</v>
      </c>
      <c r="Y5" s="43">
        <v>0.0</v>
      </c>
      <c r="Z5" s="43">
        <v>0.0</v>
      </c>
      <c r="AA5" s="43">
        <v>0.0</v>
      </c>
      <c r="AB5" s="43">
        <v>0.0</v>
      </c>
      <c r="AC5" s="43">
        <v>0.0</v>
      </c>
      <c r="AD5" s="43">
        <v>0.0</v>
      </c>
      <c r="AE5" s="43">
        <v>0.0</v>
      </c>
      <c r="AF5" s="43">
        <v>0.0</v>
      </c>
      <c r="AG5" s="43">
        <v>0.0</v>
      </c>
      <c r="AH5" s="43">
        <v>0.0</v>
      </c>
      <c r="AI5" s="43">
        <v>0.0</v>
      </c>
      <c r="AJ5" s="43">
        <v>0.0</v>
      </c>
      <c r="AK5" s="43">
        <v>0.0</v>
      </c>
      <c r="AL5" s="43">
        <v>0.0</v>
      </c>
      <c r="AM5" s="43">
        <v>0.0</v>
      </c>
      <c r="AN5" s="43">
        <v>0.0</v>
      </c>
      <c r="AO5" s="43">
        <v>0.0</v>
      </c>
      <c r="AP5" s="43">
        <v>0.0</v>
      </c>
      <c r="AQ5" s="43">
        <v>0.0</v>
      </c>
      <c r="AR5" s="43">
        <v>0.0</v>
      </c>
      <c r="AS5" s="43">
        <v>0.0</v>
      </c>
      <c r="AT5" s="43">
        <v>0.0</v>
      </c>
      <c r="AU5" s="43">
        <v>0.0</v>
      </c>
      <c r="AV5" s="43">
        <v>0.0</v>
      </c>
      <c r="AW5" s="43">
        <v>0.0</v>
      </c>
      <c r="AX5" s="43">
        <v>0.0</v>
      </c>
      <c r="AY5" s="43">
        <v>0.0</v>
      </c>
      <c r="AZ5" s="43">
        <v>0.0</v>
      </c>
      <c r="BA5" s="43">
        <v>0.0</v>
      </c>
      <c r="BB5" s="43">
        <v>0.0</v>
      </c>
      <c r="BC5" s="43">
        <v>0.0</v>
      </c>
      <c r="BD5" s="43">
        <v>0.0</v>
      </c>
      <c r="BE5" s="43">
        <v>0.0</v>
      </c>
      <c r="BF5" s="43">
        <v>0.0</v>
      </c>
      <c r="BG5" s="43">
        <v>0.0</v>
      </c>
      <c r="BH5" s="43">
        <v>0.0</v>
      </c>
      <c r="BI5" s="43">
        <v>0.0</v>
      </c>
      <c r="BJ5" s="43">
        <v>0.0</v>
      </c>
      <c r="BK5" s="43">
        <v>0.0</v>
      </c>
      <c r="BL5" s="43">
        <v>0.0</v>
      </c>
      <c r="BM5" s="43">
        <v>0.0</v>
      </c>
      <c r="BN5" s="43">
        <v>0.0</v>
      </c>
      <c r="BO5" s="43">
        <v>0.0</v>
      </c>
      <c r="BP5" s="43">
        <v>0.0</v>
      </c>
      <c r="BQ5" s="43">
        <v>0.0</v>
      </c>
      <c r="BR5" s="43">
        <v>0.0</v>
      </c>
      <c r="BS5" s="43">
        <v>0.0</v>
      </c>
      <c r="BT5" s="43">
        <v>0.0</v>
      </c>
      <c r="BU5" s="43">
        <v>0.0</v>
      </c>
      <c r="BV5" s="43">
        <v>0.0</v>
      </c>
      <c r="BW5" s="43">
        <v>0.0</v>
      </c>
      <c r="BX5" s="43">
        <v>0.0</v>
      </c>
      <c r="BY5" s="43">
        <v>0.0</v>
      </c>
      <c r="BZ5" s="43">
        <v>0.0</v>
      </c>
      <c r="CA5" s="43">
        <v>0.0</v>
      </c>
      <c r="CB5" s="43">
        <v>0.0</v>
      </c>
      <c r="CC5" s="43">
        <v>0.0</v>
      </c>
      <c r="CD5" s="43">
        <v>0.0</v>
      </c>
      <c r="CE5" s="43">
        <v>0.0</v>
      </c>
      <c r="CF5" s="43">
        <v>0.0</v>
      </c>
      <c r="CG5" s="43">
        <v>0.0</v>
      </c>
      <c r="CH5" s="43">
        <v>0.0</v>
      </c>
      <c r="CI5" s="43">
        <v>0.0</v>
      </c>
      <c r="CJ5" s="43">
        <v>0.0</v>
      </c>
      <c r="CK5" s="43">
        <v>0.0</v>
      </c>
      <c r="CL5" s="43">
        <v>0.0</v>
      </c>
      <c r="CM5" s="43">
        <v>0.0</v>
      </c>
      <c r="CN5" s="43">
        <v>1.0</v>
      </c>
      <c r="CO5" s="43">
        <v>1.0</v>
      </c>
      <c r="CP5" s="43">
        <v>1.0</v>
      </c>
      <c r="CQ5" s="43">
        <v>0.0</v>
      </c>
      <c r="CR5" s="43">
        <v>0.0</v>
      </c>
      <c r="CS5" s="43">
        <v>0.0</v>
      </c>
      <c r="CT5" s="43">
        <v>0.0</v>
      </c>
    </row>
    <row r="6" ht="15.0" customHeight="1">
      <c r="A6" s="44" t="s">
        <v>21</v>
      </c>
      <c r="B6" s="38">
        <v>31282.0</v>
      </c>
      <c r="C6" s="39">
        <f t="shared" si="1"/>
        <v>1985</v>
      </c>
      <c r="D6" s="39" t="str">
        <f t="shared" si="2"/>
        <v>Summer</v>
      </c>
      <c r="E6" s="40"/>
      <c r="F6" s="40"/>
      <c r="G6" s="41"/>
      <c r="H6" s="42" t="s">
        <v>20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43">
        <v>0.0</v>
      </c>
      <c r="O6" s="43">
        <v>0.0</v>
      </c>
      <c r="P6" s="43">
        <v>0.0</v>
      </c>
      <c r="Q6" s="43">
        <v>0.0</v>
      </c>
      <c r="R6" s="43">
        <v>0.0</v>
      </c>
      <c r="S6" s="43">
        <v>0.0</v>
      </c>
      <c r="T6" s="43">
        <v>0.0</v>
      </c>
      <c r="U6" s="43">
        <v>0.0</v>
      </c>
      <c r="V6" s="43">
        <v>0.0</v>
      </c>
      <c r="W6" s="43">
        <v>0.0</v>
      </c>
      <c r="X6" s="43">
        <v>0.0</v>
      </c>
      <c r="Y6" s="43">
        <v>0.0</v>
      </c>
      <c r="Z6" s="43">
        <v>0.0</v>
      </c>
      <c r="AA6" s="43">
        <v>0.0</v>
      </c>
      <c r="AB6" s="43">
        <v>0.0</v>
      </c>
      <c r="AC6" s="43">
        <v>0.0</v>
      </c>
      <c r="AD6" s="43">
        <v>0.0</v>
      </c>
      <c r="AE6" s="43">
        <v>0.0</v>
      </c>
      <c r="AF6" s="43">
        <v>0.0</v>
      </c>
      <c r="AG6" s="43">
        <v>0.0</v>
      </c>
      <c r="AH6" s="43">
        <v>0.0</v>
      </c>
      <c r="AI6" s="43">
        <v>0.0</v>
      </c>
      <c r="AJ6" s="43">
        <v>0.0</v>
      </c>
      <c r="AK6" s="43">
        <v>0.0</v>
      </c>
      <c r="AL6" s="43">
        <v>0.0</v>
      </c>
      <c r="AM6" s="43">
        <v>0.0</v>
      </c>
      <c r="AN6" s="43">
        <v>0.0</v>
      </c>
      <c r="AO6" s="43">
        <v>0.0</v>
      </c>
      <c r="AP6" s="43">
        <v>0.0</v>
      </c>
      <c r="AQ6" s="43">
        <v>0.0</v>
      </c>
      <c r="AR6" s="43">
        <v>0.0</v>
      </c>
      <c r="AS6" s="43">
        <v>0.0</v>
      </c>
      <c r="AT6" s="43">
        <v>0.0</v>
      </c>
      <c r="AU6" s="43">
        <v>0.0</v>
      </c>
      <c r="AV6" s="43">
        <v>0.0</v>
      </c>
      <c r="AW6" s="43">
        <v>0.0</v>
      </c>
      <c r="AX6" s="43">
        <v>0.0</v>
      </c>
      <c r="AY6" s="43">
        <v>0.0</v>
      </c>
      <c r="AZ6" s="43">
        <v>0.0</v>
      </c>
      <c r="BA6" s="43">
        <v>0.0</v>
      </c>
      <c r="BB6" s="43">
        <v>0.0</v>
      </c>
      <c r="BC6" s="43">
        <v>0.0</v>
      </c>
      <c r="BD6" s="43">
        <v>0.0</v>
      </c>
      <c r="BE6" s="43">
        <v>0.0</v>
      </c>
      <c r="BF6" s="43">
        <v>0.0</v>
      </c>
      <c r="BG6" s="43">
        <v>0.0</v>
      </c>
      <c r="BH6" s="43">
        <v>0.0</v>
      </c>
      <c r="BI6" s="43">
        <v>0.0</v>
      </c>
      <c r="BJ6" s="43">
        <v>0.0</v>
      </c>
      <c r="BK6" s="43">
        <v>0.0</v>
      </c>
      <c r="BL6" s="43">
        <v>0.0</v>
      </c>
      <c r="BM6" s="43">
        <v>0.0</v>
      </c>
      <c r="BN6" s="43">
        <v>0.0</v>
      </c>
      <c r="BO6" s="43">
        <v>0.0</v>
      </c>
      <c r="BP6" s="43">
        <v>0.0</v>
      </c>
      <c r="BQ6" s="43">
        <v>0.0</v>
      </c>
      <c r="BR6" s="43">
        <v>0.0</v>
      </c>
      <c r="BS6" s="43">
        <v>0.0</v>
      </c>
      <c r="BT6" s="43">
        <v>0.0</v>
      </c>
      <c r="BU6" s="43">
        <v>0.0</v>
      </c>
      <c r="BV6" s="43">
        <v>0.0</v>
      </c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43">
        <v>0.0</v>
      </c>
      <c r="CC6" s="43">
        <v>0.0</v>
      </c>
      <c r="CD6" s="43">
        <v>0.0</v>
      </c>
      <c r="CE6" s="43">
        <v>0.0</v>
      </c>
      <c r="CF6" s="43">
        <v>0.0</v>
      </c>
      <c r="CG6" s="43">
        <v>0.0</v>
      </c>
      <c r="CH6" s="43">
        <v>0.0</v>
      </c>
      <c r="CI6" s="43">
        <v>0.0</v>
      </c>
      <c r="CJ6" s="43">
        <v>0.0</v>
      </c>
      <c r="CK6" s="43">
        <v>0.0</v>
      </c>
      <c r="CL6" s="43">
        <v>0.0</v>
      </c>
      <c r="CM6" s="43">
        <v>0.0</v>
      </c>
      <c r="CN6" s="43">
        <v>0.0</v>
      </c>
      <c r="CO6" s="43">
        <v>0.0</v>
      </c>
      <c r="CP6" s="43">
        <v>0.0</v>
      </c>
      <c r="CQ6" s="43">
        <v>0.0</v>
      </c>
      <c r="CR6" s="43">
        <v>0.0</v>
      </c>
      <c r="CS6" s="43">
        <v>0.0</v>
      </c>
      <c r="CT6" s="43">
        <v>0.0</v>
      </c>
    </row>
    <row r="7" ht="15.0" customHeight="1">
      <c r="A7" s="44" t="s">
        <v>22</v>
      </c>
      <c r="B7" s="38">
        <v>31968.0</v>
      </c>
      <c r="C7" s="39">
        <f t="shared" si="1"/>
        <v>1987</v>
      </c>
      <c r="D7" s="39" t="str">
        <f t="shared" si="2"/>
        <v>Summer</v>
      </c>
      <c r="E7" s="45"/>
      <c r="F7" s="45"/>
      <c r="G7" s="46"/>
      <c r="H7" s="42" t="s">
        <v>20</v>
      </c>
      <c r="I7" s="47">
        <v>0.0</v>
      </c>
      <c r="J7" s="47">
        <v>0.0</v>
      </c>
      <c r="K7" s="47">
        <v>0.0</v>
      </c>
      <c r="L7" s="47">
        <v>0.0</v>
      </c>
      <c r="M7" s="47">
        <v>0.0</v>
      </c>
      <c r="N7" s="47">
        <v>0.0</v>
      </c>
      <c r="O7" s="47">
        <v>0.0</v>
      </c>
      <c r="P7" s="47">
        <v>0.0</v>
      </c>
      <c r="Q7" s="47">
        <v>0.0</v>
      </c>
      <c r="R7" s="47">
        <v>0.0</v>
      </c>
      <c r="S7" s="47">
        <v>0.0</v>
      </c>
      <c r="T7" s="47">
        <v>0.0</v>
      </c>
      <c r="U7" s="47">
        <v>0.0</v>
      </c>
      <c r="V7" s="47">
        <v>0.0</v>
      </c>
      <c r="W7" s="47">
        <v>0.0</v>
      </c>
      <c r="X7" s="47">
        <v>0.0</v>
      </c>
      <c r="Y7" s="47">
        <v>0.0</v>
      </c>
      <c r="Z7" s="47">
        <v>0.0</v>
      </c>
      <c r="AA7" s="47">
        <v>0.0</v>
      </c>
      <c r="AB7" s="47">
        <v>0.0</v>
      </c>
      <c r="AC7" s="47">
        <v>0.0</v>
      </c>
      <c r="AD7" s="47">
        <v>0.0</v>
      </c>
      <c r="AE7" s="47">
        <v>0.0</v>
      </c>
      <c r="AF7" s="47">
        <v>0.0</v>
      </c>
      <c r="AG7" s="47">
        <v>0.0</v>
      </c>
      <c r="AH7" s="47">
        <v>0.0</v>
      </c>
      <c r="AI7" s="47">
        <v>0.0</v>
      </c>
      <c r="AJ7" s="47">
        <v>0.0</v>
      </c>
      <c r="AK7" s="47">
        <v>0.0</v>
      </c>
      <c r="AL7" s="47">
        <v>0.0</v>
      </c>
      <c r="AM7" s="47">
        <v>0.0</v>
      </c>
      <c r="AN7" s="47">
        <v>0.0</v>
      </c>
      <c r="AO7" s="47">
        <v>0.0</v>
      </c>
      <c r="AP7" s="47">
        <v>0.0</v>
      </c>
      <c r="AQ7" s="47">
        <v>0.0</v>
      </c>
      <c r="AR7" s="47">
        <v>0.0</v>
      </c>
      <c r="AS7" s="47">
        <v>0.0</v>
      </c>
      <c r="AT7" s="47">
        <v>0.0</v>
      </c>
      <c r="AU7" s="47">
        <v>0.0</v>
      </c>
      <c r="AV7" s="47">
        <v>0.0</v>
      </c>
      <c r="AW7" s="47">
        <v>0.0</v>
      </c>
      <c r="AX7" s="47">
        <v>0.0</v>
      </c>
      <c r="AY7" s="47">
        <v>0.0</v>
      </c>
      <c r="AZ7" s="47">
        <v>0.0</v>
      </c>
      <c r="BA7" s="47">
        <v>0.0</v>
      </c>
      <c r="BB7" s="47">
        <v>0.0</v>
      </c>
      <c r="BC7" s="47">
        <v>0.0</v>
      </c>
      <c r="BD7" s="47">
        <v>0.0</v>
      </c>
      <c r="BE7" s="47">
        <v>0.0</v>
      </c>
      <c r="BF7" s="47">
        <v>0.0</v>
      </c>
      <c r="BG7" s="47">
        <v>0.0</v>
      </c>
      <c r="BH7" s="47">
        <v>0.0</v>
      </c>
      <c r="BI7" s="47">
        <v>0.0</v>
      </c>
      <c r="BJ7" s="47">
        <v>0.0</v>
      </c>
      <c r="BK7" s="47">
        <v>0.0</v>
      </c>
      <c r="BL7" s="47">
        <v>0.0</v>
      </c>
      <c r="BM7" s="47">
        <v>0.0</v>
      </c>
      <c r="BN7" s="47">
        <v>0.0</v>
      </c>
      <c r="BO7" s="47">
        <v>0.0</v>
      </c>
      <c r="BP7" s="47">
        <v>0.0</v>
      </c>
      <c r="BQ7" s="47">
        <v>0.0</v>
      </c>
      <c r="BR7" s="47">
        <v>0.0</v>
      </c>
      <c r="BS7" s="47">
        <v>0.0</v>
      </c>
      <c r="BT7" s="47">
        <v>0.0</v>
      </c>
      <c r="BU7" s="47">
        <v>0.0</v>
      </c>
      <c r="BV7" s="47">
        <v>0.0</v>
      </c>
      <c r="BW7" s="47">
        <v>0.0</v>
      </c>
      <c r="BX7" s="47">
        <v>0.0</v>
      </c>
      <c r="BY7" s="47">
        <v>0.0</v>
      </c>
      <c r="BZ7" s="47">
        <v>0.0</v>
      </c>
      <c r="CA7" s="47">
        <v>0.0</v>
      </c>
      <c r="CB7" s="47">
        <v>0.0</v>
      </c>
      <c r="CC7" s="47">
        <v>0.0</v>
      </c>
      <c r="CD7" s="47">
        <v>0.0</v>
      </c>
      <c r="CE7" s="47">
        <v>0.0</v>
      </c>
      <c r="CF7" s="47">
        <v>0.0</v>
      </c>
      <c r="CG7" s="47">
        <v>0.0</v>
      </c>
      <c r="CH7" s="47">
        <v>0.0</v>
      </c>
      <c r="CI7" s="47">
        <v>0.0</v>
      </c>
      <c r="CJ7" s="47">
        <v>0.0</v>
      </c>
      <c r="CK7" s="47">
        <v>0.0</v>
      </c>
      <c r="CL7" s="47">
        <v>0.0</v>
      </c>
      <c r="CM7" s="47">
        <v>0.0</v>
      </c>
      <c r="CN7" s="47">
        <v>0.0</v>
      </c>
      <c r="CO7" s="47">
        <v>0.0</v>
      </c>
      <c r="CP7" s="47">
        <v>0.0</v>
      </c>
      <c r="CQ7" s="47">
        <v>0.0</v>
      </c>
      <c r="CR7" s="47">
        <v>0.0</v>
      </c>
      <c r="CS7" s="47">
        <v>0.0</v>
      </c>
      <c r="CT7" s="47">
        <v>0.0</v>
      </c>
    </row>
    <row r="8" ht="15.0" customHeight="1">
      <c r="A8" s="44" t="s">
        <v>23</v>
      </c>
      <c r="B8" s="38">
        <v>32719.0</v>
      </c>
      <c r="C8" s="39">
        <f t="shared" si="1"/>
        <v>1989</v>
      </c>
      <c r="D8" s="39" t="str">
        <f t="shared" si="2"/>
        <v>Summer</v>
      </c>
      <c r="E8" s="48"/>
      <c r="F8" s="48"/>
      <c r="G8" s="48"/>
      <c r="H8" s="42" t="s">
        <v>20</v>
      </c>
      <c r="I8" s="47">
        <v>0.0</v>
      </c>
      <c r="J8" s="47">
        <v>0.0</v>
      </c>
      <c r="K8" s="47">
        <v>0.0</v>
      </c>
      <c r="L8" s="47">
        <v>0.0</v>
      </c>
      <c r="M8" s="47">
        <v>0.0</v>
      </c>
      <c r="N8" s="47">
        <v>0.0</v>
      </c>
      <c r="O8" s="47">
        <v>0.0</v>
      </c>
      <c r="P8" s="47">
        <v>0.0</v>
      </c>
      <c r="Q8" s="47">
        <v>0.0</v>
      </c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>
        <v>0.0</v>
      </c>
      <c r="Y8" s="47">
        <v>0.0</v>
      </c>
      <c r="Z8" s="47">
        <v>0.0</v>
      </c>
      <c r="AA8" s="47">
        <v>0.0</v>
      </c>
      <c r="AB8" s="47">
        <v>0.0</v>
      </c>
      <c r="AC8" s="47">
        <v>0.0</v>
      </c>
      <c r="AD8" s="47">
        <v>0.0</v>
      </c>
      <c r="AE8" s="47">
        <v>0.0</v>
      </c>
      <c r="AF8" s="47">
        <v>0.0</v>
      </c>
      <c r="AG8" s="47">
        <v>0.0</v>
      </c>
      <c r="AH8" s="47">
        <v>0.0</v>
      </c>
      <c r="AI8" s="47">
        <v>0.0</v>
      </c>
      <c r="AJ8" s="47">
        <v>0.0</v>
      </c>
      <c r="AK8" s="47">
        <v>0.0</v>
      </c>
      <c r="AL8" s="47">
        <v>0.0</v>
      </c>
      <c r="AM8" s="47">
        <v>0.0</v>
      </c>
      <c r="AN8" s="47">
        <v>0.0</v>
      </c>
      <c r="AO8" s="47">
        <v>0.0</v>
      </c>
      <c r="AP8" s="47">
        <v>0.0</v>
      </c>
      <c r="AQ8" s="47">
        <v>0.0</v>
      </c>
      <c r="AR8" s="47">
        <v>0.0</v>
      </c>
      <c r="AS8" s="47">
        <v>0.0</v>
      </c>
      <c r="AT8" s="47">
        <v>0.0</v>
      </c>
      <c r="AU8" s="47">
        <v>0.0</v>
      </c>
      <c r="AV8" s="47">
        <v>0.0</v>
      </c>
      <c r="AW8" s="47">
        <v>0.0</v>
      </c>
      <c r="AX8" s="47">
        <v>0.0</v>
      </c>
      <c r="AY8" s="47">
        <v>0.0</v>
      </c>
      <c r="AZ8" s="47">
        <v>0.0</v>
      </c>
      <c r="BA8" s="47">
        <v>0.0</v>
      </c>
      <c r="BB8" s="47">
        <v>0.0</v>
      </c>
      <c r="BC8" s="47">
        <v>0.0</v>
      </c>
      <c r="BD8" s="47">
        <v>0.0</v>
      </c>
      <c r="BE8" s="47">
        <v>0.0</v>
      </c>
      <c r="BF8" s="47">
        <v>0.0</v>
      </c>
      <c r="BG8" s="47">
        <v>1.0</v>
      </c>
      <c r="BH8" s="47">
        <v>1.0</v>
      </c>
      <c r="BI8" s="47">
        <v>0.0</v>
      </c>
      <c r="BJ8" s="47">
        <v>0.0</v>
      </c>
      <c r="BK8" s="47">
        <v>0.0</v>
      </c>
      <c r="BL8" s="47">
        <v>0.0</v>
      </c>
      <c r="BM8" s="47">
        <v>0.0</v>
      </c>
      <c r="BN8" s="47">
        <v>0.0</v>
      </c>
      <c r="BO8" s="47">
        <v>0.0</v>
      </c>
      <c r="BP8" s="47">
        <v>0.0</v>
      </c>
      <c r="BQ8" s="47">
        <v>0.0</v>
      </c>
      <c r="BR8" s="47">
        <v>0.0</v>
      </c>
      <c r="BS8" s="47">
        <v>0.0</v>
      </c>
      <c r="BT8" s="47">
        <v>0.0</v>
      </c>
      <c r="BU8" s="47">
        <v>0.0</v>
      </c>
      <c r="BV8" s="47">
        <v>0.0</v>
      </c>
      <c r="BW8" s="47">
        <v>0.0</v>
      </c>
      <c r="BX8" s="47">
        <v>0.0</v>
      </c>
      <c r="BY8" s="47">
        <v>0.0</v>
      </c>
      <c r="BZ8" s="47">
        <v>0.0</v>
      </c>
      <c r="CA8" s="47">
        <v>0.0</v>
      </c>
      <c r="CB8" s="47">
        <v>0.0</v>
      </c>
      <c r="CC8" s="47">
        <v>0.0</v>
      </c>
      <c r="CD8" s="47">
        <v>0.0</v>
      </c>
      <c r="CE8" s="47">
        <v>0.0</v>
      </c>
      <c r="CF8" s="47">
        <v>0.0</v>
      </c>
      <c r="CG8" s="47">
        <v>0.0</v>
      </c>
      <c r="CH8" s="47">
        <v>0.0</v>
      </c>
      <c r="CI8" s="47">
        <v>0.0</v>
      </c>
      <c r="CJ8" s="47">
        <v>0.0</v>
      </c>
      <c r="CK8" s="47">
        <v>0.0</v>
      </c>
      <c r="CL8" s="47">
        <v>0.0</v>
      </c>
      <c r="CM8" s="47">
        <v>0.0</v>
      </c>
      <c r="CN8" s="47">
        <v>0.0</v>
      </c>
      <c r="CO8" s="47">
        <v>0.0</v>
      </c>
      <c r="CP8" s="47">
        <v>0.0</v>
      </c>
      <c r="CQ8" s="47">
        <v>0.0</v>
      </c>
      <c r="CR8" s="47">
        <v>0.0</v>
      </c>
      <c r="CS8" s="47">
        <v>0.0</v>
      </c>
      <c r="CT8" s="47">
        <v>0.0</v>
      </c>
    </row>
    <row r="9" ht="15.0" customHeight="1">
      <c r="A9" s="44" t="s">
        <v>24</v>
      </c>
      <c r="B9" s="38">
        <v>33530.0</v>
      </c>
      <c r="C9" s="39">
        <f t="shared" si="1"/>
        <v>1991</v>
      </c>
      <c r="D9" s="39" t="str">
        <f t="shared" si="2"/>
        <v>Fall</v>
      </c>
      <c r="E9" s="45" t="s">
        <v>25</v>
      </c>
      <c r="F9" s="45" t="s">
        <v>26</v>
      </c>
      <c r="G9" s="45"/>
      <c r="H9" s="42" t="s">
        <v>20</v>
      </c>
      <c r="I9" s="47">
        <v>0.0</v>
      </c>
      <c r="J9" s="47">
        <v>0.0</v>
      </c>
      <c r="K9" s="47">
        <v>0.0</v>
      </c>
      <c r="L9" s="47">
        <v>0.0</v>
      </c>
      <c r="M9" s="47">
        <v>0.0</v>
      </c>
      <c r="N9" s="47">
        <v>0.0</v>
      </c>
      <c r="O9" s="47">
        <v>0.0</v>
      </c>
      <c r="P9" s="47">
        <v>0.0</v>
      </c>
      <c r="Q9" s="47">
        <v>0.0</v>
      </c>
      <c r="R9" s="47">
        <v>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>
        <v>0.0</v>
      </c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v>0.0</v>
      </c>
      <c r="AF9" s="47">
        <v>0.0</v>
      </c>
      <c r="AG9" s="47">
        <v>0.0</v>
      </c>
      <c r="AH9" s="47">
        <v>0.0</v>
      </c>
      <c r="AI9" s="47">
        <v>0.0</v>
      </c>
      <c r="AJ9" s="47">
        <v>0.0</v>
      </c>
      <c r="AK9" s="47">
        <v>0.0</v>
      </c>
      <c r="AL9" s="47">
        <v>0.0</v>
      </c>
      <c r="AM9" s="47">
        <v>0.0</v>
      </c>
      <c r="AN9" s="47">
        <v>0.0</v>
      </c>
      <c r="AO9" s="47">
        <v>0.0</v>
      </c>
      <c r="AP9" s="47">
        <v>0.0</v>
      </c>
      <c r="AQ9" s="47">
        <v>0.0</v>
      </c>
      <c r="AR9" s="47">
        <v>0.0</v>
      </c>
      <c r="AS9" s="47">
        <v>0.0</v>
      </c>
      <c r="AT9" s="47">
        <v>0.0</v>
      </c>
      <c r="AU9" s="47">
        <v>0.0</v>
      </c>
      <c r="AV9" s="47">
        <v>0.0</v>
      </c>
      <c r="AW9" s="47">
        <v>0.0</v>
      </c>
      <c r="AX9" s="47">
        <v>0.0</v>
      </c>
      <c r="AY9" s="47">
        <v>0.0</v>
      </c>
      <c r="AZ9" s="47">
        <v>0.0</v>
      </c>
      <c r="BA9" s="47">
        <v>0.0</v>
      </c>
      <c r="BB9" s="47">
        <v>1.0</v>
      </c>
      <c r="BC9" s="47">
        <v>1.0</v>
      </c>
      <c r="BD9" s="47">
        <v>0.0</v>
      </c>
      <c r="BE9" s="47">
        <v>1.0</v>
      </c>
      <c r="BF9" s="47">
        <v>1.0</v>
      </c>
      <c r="BG9" s="47">
        <v>1.0</v>
      </c>
      <c r="BH9" s="47">
        <v>0.0</v>
      </c>
      <c r="BI9" s="47">
        <v>1.0</v>
      </c>
      <c r="BJ9" s="47">
        <v>0.0</v>
      </c>
      <c r="BK9" s="47">
        <v>0.0</v>
      </c>
      <c r="BL9" s="47">
        <v>0.0</v>
      </c>
      <c r="BM9" s="47">
        <v>0.0</v>
      </c>
      <c r="BN9" s="47">
        <v>0.0</v>
      </c>
      <c r="BO9" s="47">
        <v>0.0</v>
      </c>
      <c r="BP9" s="47">
        <v>0.0</v>
      </c>
      <c r="BQ9" s="47">
        <v>0.0</v>
      </c>
      <c r="BR9" s="47">
        <v>0.0</v>
      </c>
      <c r="BS9" s="47">
        <v>0.0</v>
      </c>
      <c r="BT9" s="47">
        <v>0.0</v>
      </c>
      <c r="BU9" s="47">
        <v>0.0</v>
      </c>
      <c r="BV9" s="47">
        <v>0.0</v>
      </c>
      <c r="BW9" s="47">
        <v>0.0</v>
      </c>
      <c r="BX9" s="47">
        <v>0.0</v>
      </c>
      <c r="BY9" s="47">
        <v>0.0</v>
      </c>
      <c r="BZ9" s="47">
        <v>0.0</v>
      </c>
      <c r="CA9" s="47">
        <v>0.0</v>
      </c>
      <c r="CB9" s="47">
        <v>0.0</v>
      </c>
      <c r="CC9" s="47">
        <v>0.0</v>
      </c>
      <c r="CD9" s="47">
        <v>0.0</v>
      </c>
      <c r="CE9" s="47">
        <v>0.0</v>
      </c>
      <c r="CF9" s="47">
        <v>0.0</v>
      </c>
      <c r="CG9" s="47">
        <v>0.0</v>
      </c>
      <c r="CH9" s="47">
        <v>0.0</v>
      </c>
      <c r="CI9" s="47">
        <v>0.0</v>
      </c>
      <c r="CJ9" s="47">
        <v>1.0</v>
      </c>
      <c r="CK9" s="47">
        <v>1.0</v>
      </c>
      <c r="CL9" s="47">
        <v>0.0</v>
      </c>
      <c r="CM9" s="47">
        <v>0.0</v>
      </c>
      <c r="CN9" s="47">
        <v>0.0</v>
      </c>
      <c r="CO9" s="47">
        <v>0.0</v>
      </c>
      <c r="CP9" s="47">
        <v>0.0</v>
      </c>
      <c r="CQ9" s="47">
        <v>0.0</v>
      </c>
      <c r="CR9" s="47">
        <v>0.0</v>
      </c>
      <c r="CS9" s="47">
        <v>0.0</v>
      </c>
      <c r="CT9" s="47">
        <v>0.0</v>
      </c>
    </row>
    <row r="10" ht="15.0" customHeight="1">
      <c r="A10" s="44" t="s">
        <v>27</v>
      </c>
      <c r="B10" s="38">
        <v>33879.0</v>
      </c>
      <c r="C10" s="39">
        <f t="shared" si="1"/>
        <v>1992</v>
      </c>
      <c r="D10" s="39" t="str">
        <f t="shared" si="2"/>
        <v>Fall</v>
      </c>
      <c r="E10" s="48"/>
      <c r="F10" s="48"/>
      <c r="G10" s="48"/>
      <c r="H10" s="42" t="s">
        <v>20</v>
      </c>
      <c r="I10" s="47">
        <v>0.0</v>
      </c>
      <c r="J10" s="47">
        <v>0.0</v>
      </c>
      <c r="K10" s="47">
        <v>0.0</v>
      </c>
      <c r="L10" s="47">
        <v>0.0</v>
      </c>
      <c r="M10" s="47">
        <v>0.0</v>
      </c>
      <c r="N10" s="47">
        <v>0.0</v>
      </c>
      <c r="O10" s="47">
        <v>0.0</v>
      </c>
      <c r="P10" s="47">
        <v>0.0</v>
      </c>
      <c r="Q10" s="47">
        <v>1.0</v>
      </c>
      <c r="R10" s="47">
        <v>1.0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>
        <v>0.0</v>
      </c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7">
        <v>0.0</v>
      </c>
      <c r="AF10" s="47">
        <v>0.0</v>
      </c>
      <c r="AG10" s="47">
        <v>0.0</v>
      </c>
      <c r="AH10" s="47">
        <v>0.0</v>
      </c>
      <c r="AI10" s="47">
        <v>0.0</v>
      </c>
      <c r="AJ10" s="47">
        <v>0.0</v>
      </c>
      <c r="AK10" s="47">
        <v>0.0</v>
      </c>
      <c r="AL10" s="47">
        <v>0.0</v>
      </c>
      <c r="AM10" s="47">
        <v>0.0</v>
      </c>
      <c r="AN10" s="47">
        <v>0.0</v>
      </c>
      <c r="AO10" s="47">
        <v>0.0</v>
      </c>
      <c r="AP10" s="47">
        <v>0.0</v>
      </c>
      <c r="AQ10" s="47">
        <v>0.0</v>
      </c>
      <c r="AR10" s="47">
        <v>0.0</v>
      </c>
      <c r="AS10" s="47">
        <v>0.0</v>
      </c>
      <c r="AT10" s="47">
        <v>0.0</v>
      </c>
      <c r="AU10" s="47">
        <v>0.0</v>
      </c>
      <c r="AV10" s="47">
        <v>0.0</v>
      </c>
      <c r="AW10" s="47">
        <v>0.0</v>
      </c>
      <c r="AX10" s="47">
        <v>0.0</v>
      </c>
      <c r="AY10" s="47">
        <v>0.0</v>
      </c>
      <c r="AZ10" s="47">
        <v>0.0</v>
      </c>
      <c r="BA10" s="47">
        <v>0.0</v>
      </c>
      <c r="BB10" s="47">
        <v>0.0</v>
      </c>
      <c r="BC10" s="47">
        <v>0.0</v>
      </c>
      <c r="BD10" s="47">
        <v>0.0</v>
      </c>
      <c r="BE10" s="47">
        <v>0.0</v>
      </c>
      <c r="BF10" s="47">
        <v>0.0</v>
      </c>
      <c r="BG10" s="47">
        <v>0.0</v>
      </c>
      <c r="BH10" s="47">
        <v>0.0</v>
      </c>
      <c r="BI10" s="47">
        <v>0.0</v>
      </c>
      <c r="BJ10" s="47">
        <v>0.0</v>
      </c>
      <c r="BK10" s="47">
        <v>0.0</v>
      </c>
      <c r="BL10" s="47">
        <v>0.0</v>
      </c>
      <c r="BM10" s="47">
        <v>0.0</v>
      </c>
      <c r="BN10" s="47">
        <v>0.0</v>
      </c>
      <c r="BO10" s="47">
        <v>0.0</v>
      </c>
      <c r="BP10" s="47">
        <v>0.0</v>
      </c>
      <c r="BQ10" s="47">
        <v>0.0</v>
      </c>
      <c r="BR10" s="47">
        <v>0.0</v>
      </c>
      <c r="BS10" s="47">
        <v>0.0</v>
      </c>
      <c r="BT10" s="47">
        <v>0.0</v>
      </c>
      <c r="BU10" s="47">
        <v>0.0</v>
      </c>
      <c r="BV10" s="47">
        <v>0.0</v>
      </c>
      <c r="BW10" s="47">
        <v>0.0</v>
      </c>
      <c r="BX10" s="47">
        <v>0.0</v>
      </c>
      <c r="BY10" s="47">
        <v>0.0</v>
      </c>
      <c r="BZ10" s="47">
        <v>0.0</v>
      </c>
      <c r="CA10" s="47">
        <v>0.0</v>
      </c>
      <c r="CB10" s="47">
        <v>0.0</v>
      </c>
      <c r="CC10" s="47">
        <v>0.0</v>
      </c>
      <c r="CD10" s="47">
        <v>0.0</v>
      </c>
      <c r="CE10" s="47">
        <v>0.0</v>
      </c>
      <c r="CF10" s="47">
        <v>0.0</v>
      </c>
      <c r="CG10" s="47">
        <v>0.0</v>
      </c>
      <c r="CH10" s="47">
        <v>0.0</v>
      </c>
      <c r="CI10" s="47">
        <v>1.0</v>
      </c>
      <c r="CJ10" s="47">
        <v>1.0</v>
      </c>
      <c r="CK10" s="47">
        <v>1.0</v>
      </c>
      <c r="CL10" s="47">
        <v>0.0</v>
      </c>
      <c r="CM10" s="47">
        <v>0.0</v>
      </c>
      <c r="CN10" s="47">
        <v>1.0</v>
      </c>
      <c r="CO10" s="47">
        <v>1.0</v>
      </c>
      <c r="CP10" s="47">
        <v>1.0</v>
      </c>
      <c r="CQ10" s="47">
        <v>0.0</v>
      </c>
      <c r="CR10" s="47">
        <v>0.0</v>
      </c>
      <c r="CS10" s="47">
        <v>0.0</v>
      </c>
      <c r="CT10" s="47">
        <v>0.0</v>
      </c>
    </row>
    <row r="11" ht="15.0" customHeight="1">
      <c r="A11" s="44" t="s">
        <v>28</v>
      </c>
      <c r="B11" s="38">
        <v>34214.0</v>
      </c>
      <c r="C11" s="39">
        <f t="shared" si="1"/>
        <v>1993</v>
      </c>
      <c r="D11" s="39" t="str">
        <f t="shared" si="2"/>
        <v>Fall</v>
      </c>
      <c r="E11" s="45" t="s">
        <v>29</v>
      </c>
      <c r="F11" s="45" t="s">
        <v>30</v>
      </c>
      <c r="G11" s="45"/>
      <c r="H11" s="42" t="s">
        <v>20</v>
      </c>
      <c r="I11" s="47">
        <v>0.0</v>
      </c>
      <c r="J11" s="47">
        <v>0.0</v>
      </c>
      <c r="K11" s="47">
        <v>0.0</v>
      </c>
      <c r="L11" s="47">
        <v>0.0</v>
      </c>
      <c r="M11" s="47">
        <v>1.0</v>
      </c>
      <c r="N11" s="47">
        <v>0.0</v>
      </c>
      <c r="O11" s="47">
        <v>0.0</v>
      </c>
      <c r="P11" s="47">
        <v>0.0</v>
      </c>
      <c r="Q11" s="47">
        <v>0.0</v>
      </c>
      <c r="R11" s="47">
        <v>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>
        <v>0.0</v>
      </c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7">
        <v>0.0</v>
      </c>
      <c r="AF11" s="47">
        <v>0.0</v>
      </c>
      <c r="AG11" s="47">
        <v>0.0</v>
      </c>
      <c r="AH11" s="47">
        <v>0.0</v>
      </c>
      <c r="AI11" s="47">
        <v>0.0</v>
      </c>
      <c r="AJ11" s="47">
        <v>0.0</v>
      </c>
      <c r="AK11" s="47">
        <v>0.0</v>
      </c>
      <c r="AL11" s="47">
        <v>0.0</v>
      </c>
      <c r="AM11" s="47">
        <v>0.0</v>
      </c>
      <c r="AN11" s="47">
        <v>0.0</v>
      </c>
      <c r="AO11" s="47">
        <v>0.0</v>
      </c>
      <c r="AP11" s="47">
        <v>0.0</v>
      </c>
      <c r="AQ11" s="47">
        <v>0.0</v>
      </c>
      <c r="AR11" s="47">
        <v>0.0</v>
      </c>
      <c r="AS11" s="47">
        <v>0.0</v>
      </c>
      <c r="AT11" s="47">
        <v>0.0</v>
      </c>
      <c r="AU11" s="47">
        <v>0.0</v>
      </c>
      <c r="AV11" s="47">
        <v>0.0</v>
      </c>
      <c r="AW11" s="47">
        <v>0.0</v>
      </c>
      <c r="AX11" s="47">
        <v>0.0</v>
      </c>
      <c r="AY11" s="47">
        <v>0.0</v>
      </c>
      <c r="AZ11" s="47">
        <v>0.0</v>
      </c>
      <c r="BA11" s="47">
        <v>0.0</v>
      </c>
      <c r="BB11" s="47">
        <v>0.0</v>
      </c>
      <c r="BC11" s="47">
        <v>0.0</v>
      </c>
      <c r="BD11" s="47">
        <v>0.0</v>
      </c>
      <c r="BE11" s="47">
        <v>0.0</v>
      </c>
      <c r="BF11" s="47">
        <v>0.0</v>
      </c>
      <c r="BG11" s="47">
        <v>0.0</v>
      </c>
      <c r="BH11" s="47">
        <v>0.0</v>
      </c>
      <c r="BI11" s="47">
        <v>0.0</v>
      </c>
      <c r="BJ11" s="47">
        <v>0.0</v>
      </c>
      <c r="BK11" s="47">
        <v>0.0</v>
      </c>
      <c r="BL11" s="47">
        <v>0.0</v>
      </c>
      <c r="BM11" s="47">
        <v>0.0</v>
      </c>
      <c r="BN11" s="47">
        <v>0.0</v>
      </c>
      <c r="BO11" s="47">
        <v>0.0</v>
      </c>
      <c r="BP11" s="47">
        <v>0.0</v>
      </c>
      <c r="BQ11" s="47">
        <v>0.0</v>
      </c>
      <c r="BR11" s="47">
        <v>0.0</v>
      </c>
      <c r="BS11" s="47">
        <v>0.0</v>
      </c>
      <c r="BT11" s="47">
        <v>0.0</v>
      </c>
      <c r="BU11" s="47">
        <v>0.0</v>
      </c>
      <c r="BV11" s="47">
        <v>0.0</v>
      </c>
      <c r="BW11" s="47">
        <v>0.0</v>
      </c>
      <c r="BX11" s="47">
        <v>0.0</v>
      </c>
      <c r="BY11" s="47">
        <v>0.0</v>
      </c>
      <c r="BZ11" s="47">
        <v>0.0</v>
      </c>
      <c r="CA11" s="47">
        <v>0.0</v>
      </c>
      <c r="CB11" s="47">
        <v>0.0</v>
      </c>
      <c r="CC11" s="47">
        <v>0.0</v>
      </c>
      <c r="CD11" s="47">
        <v>0.0</v>
      </c>
      <c r="CE11" s="47">
        <v>0.0</v>
      </c>
      <c r="CF11" s="47">
        <v>0.0</v>
      </c>
      <c r="CG11" s="47">
        <v>0.0</v>
      </c>
      <c r="CH11" s="47">
        <v>0.0</v>
      </c>
      <c r="CI11" s="47">
        <v>0.0</v>
      </c>
      <c r="CJ11" s="47">
        <v>0.0</v>
      </c>
      <c r="CK11" s="47">
        <v>0.0</v>
      </c>
      <c r="CL11" s="47">
        <v>1.0</v>
      </c>
      <c r="CM11" s="47">
        <v>1.0</v>
      </c>
      <c r="CN11" s="47">
        <v>0.0</v>
      </c>
      <c r="CO11" s="47">
        <v>0.0</v>
      </c>
      <c r="CP11" s="47">
        <v>0.0</v>
      </c>
      <c r="CQ11" s="47">
        <v>1.0</v>
      </c>
      <c r="CR11" s="47">
        <v>1.0</v>
      </c>
      <c r="CS11" s="47">
        <v>1.0</v>
      </c>
      <c r="CT11" s="47">
        <v>1.0</v>
      </c>
    </row>
    <row r="12" ht="15.0" customHeight="1">
      <c r="A12" s="44" t="s">
        <v>31</v>
      </c>
      <c r="B12" s="38">
        <v>34990.0</v>
      </c>
      <c r="C12" s="39">
        <f t="shared" si="1"/>
        <v>1995</v>
      </c>
      <c r="D12" s="39" t="str">
        <f t="shared" si="2"/>
        <v>Fall</v>
      </c>
      <c r="E12" s="48"/>
      <c r="F12" s="48"/>
      <c r="G12" s="48"/>
      <c r="H12" s="42" t="s">
        <v>20</v>
      </c>
      <c r="I12" s="47">
        <v>0.0</v>
      </c>
      <c r="J12" s="47">
        <v>0.0</v>
      </c>
      <c r="K12" s="47">
        <v>0.0</v>
      </c>
      <c r="L12" s="47">
        <v>0.0</v>
      </c>
      <c r="M12" s="47">
        <v>0.0</v>
      </c>
      <c r="N12" s="47">
        <v>0.0</v>
      </c>
      <c r="O12" s="47">
        <v>0.0</v>
      </c>
      <c r="P12" s="47">
        <v>0.0</v>
      </c>
      <c r="Q12" s="47">
        <v>0.0</v>
      </c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>
        <v>0.0</v>
      </c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7">
        <v>0.0</v>
      </c>
      <c r="AF12" s="47">
        <v>0.0</v>
      </c>
      <c r="AG12" s="47">
        <v>0.0</v>
      </c>
      <c r="AH12" s="47">
        <v>0.0</v>
      </c>
      <c r="AI12" s="47">
        <v>0.0</v>
      </c>
      <c r="AJ12" s="47">
        <v>0.0</v>
      </c>
      <c r="AK12" s="47">
        <v>0.0</v>
      </c>
      <c r="AL12" s="47">
        <v>0.0</v>
      </c>
      <c r="AM12" s="47">
        <v>0.0</v>
      </c>
      <c r="AN12" s="47">
        <v>0.0</v>
      </c>
      <c r="AO12" s="47">
        <v>0.0</v>
      </c>
      <c r="AP12" s="47">
        <v>0.0</v>
      </c>
      <c r="AQ12" s="47">
        <v>0.0</v>
      </c>
      <c r="AR12" s="47">
        <v>0.0</v>
      </c>
      <c r="AS12" s="47">
        <v>0.0</v>
      </c>
      <c r="AT12" s="47">
        <v>0.0</v>
      </c>
      <c r="AU12" s="47">
        <v>0.0</v>
      </c>
      <c r="AV12" s="47">
        <v>0.0</v>
      </c>
      <c r="AW12" s="47">
        <v>0.0</v>
      </c>
      <c r="AX12" s="47">
        <v>0.0</v>
      </c>
      <c r="AY12" s="47">
        <v>0.0</v>
      </c>
      <c r="AZ12" s="47">
        <v>0.0</v>
      </c>
      <c r="BA12" s="47">
        <v>0.0</v>
      </c>
      <c r="BB12" s="47">
        <v>0.0</v>
      </c>
      <c r="BC12" s="47">
        <v>0.0</v>
      </c>
      <c r="BD12" s="47">
        <v>1.0</v>
      </c>
      <c r="BE12" s="47">
        <v>1.0</v>
      </c>
      <c r="BF12" s="47">
        <v>1.0</v>
      </c>
      <c r="BG12" s="47">
        <v>1.0</v>
      </c>
      <c r="BH12" s="47">
        <v>0.0</v>
      </c>
      <c r="BI12" s="47">
        <v>1.0</v>
      </c>
      <c r="BJ12" s="47">
        <v>1.0</v>
      </c>
      <c r="BK12" s="47">
        <v>0.0</v>
      </c>
      <c r="BL12" s="47">
        <v>1.0</v>
      </c>
      <c r="BM12" s="47">
        <v>1.0</v>
      </c>
      <c r="BN12" s="47">
        <v>0.0</v>
      </c>
      <c r="BO12" s="47">
        <v>0.0</v>
      </c>
      <c r="BP12" s="47">
        <v>0.0</v>
      </c>
      <c r="BQ12" s="47">
        <v>0.0</v>
      </c>
      <c r="BR12" s="47">
        <v>0.0</v>
      </c>
      <c r="BS12" s="47">
        <v>0.0</v>
      </c>
      <c r="BT12" s="47">
        <v>0.0</v>
      </c>
      <c r="BU12" s="47">
        <v>0.0</v>
      </c>
      <c r="BV12" s="47">
        <v>0.0</v>
      </c>
      <c r="BW12" s="47">
        <v>0.0</v>
      </c>
      <c r="BX12" s="47">
        <v>0.0</v>
      </c>
      <c r="BY12" s="47">
        <v>0.0</v>
      </c>
      <c r="BZ12" s="47">
        <v>0.0</v>
      </c>
      <c r="CA12" s="47">
        <v>0.0</v>
      </c>
      <c r="CB12" s="47">
        <v>0.0</v>
      </c>
      <c r="CC12" s="47">
        <v>0.0</v>
      </c>
      <c r="CD12" s="47">
        <v>0.0</v>
      </c>
      <c r="CE12" s="47">
        <v>0.0</v>
      </c>
      <c r="CF12" s="47">
        <v>0.0</v>
      </c>
      <c r="CG12" s="47">
        <v>0.0</v>
      </c>
      <c r="CH12" s="47">
        <v>0.0</v>
      </c>
      <c r="CI12" s="47">
        <v>0.0</v>
      </c>
      <c r="CJ12" s="47">
        <v>0.0</v>
      </c>
      <c r="CK12" s="47">
        <v>0.0</v>
      </c>
      <c r="CL12" s="47">
        <v>1.0</v>
      </c>
      <c r="CM12" s="47">
        <v>1.0</v>
      </c>
      <c r="CN12" s="47">
        <v>0.0</v>
      </c>
      <c r="CO12" s="47">
        <v>0.0</v>
      </c>
      <c r="CP12" s="47">
        <v>1.0</v>
      </c>
      <c r="CQ12" s="47">
        <v>0.0</v>
      </c>
      <c r="CR12" s="47">
        <v>0.0</v>
      </c>
      <c r="CS12" s="47">
        <v>0.0</v>
      </c>
      <c r="CT12" s="47">
        <v>0.0</v>
      </c>
    </row>
    <row r="13" ht="15.0" customHeight="1">
      <c r="A13" s="44" t="s">
        <v>32</v>
      </c>
      <c r="B13" s="38">
        <v>35352.0</v>
      </c>
      <c r="C13" s="39">
        <f t="shared" si="1"/>
        <v>1996</v>
      </c>
      <c r="D13" s="39" t="str">
        <f t="shared" si="2"/>
        <v>Fall</v>
      </c>
      <c r="E13" s="45" t="s">
        <v>33</v>
      </c>
      <c r="F13" s="45" t="s">
        <v>34</v>
      </c>
      <c r="G13" s="46" t="s">
        <v>35</v>
      </c>
      <c r="H13" s="42" t="s">
        <v>20</v>
      </c>
      <c r="I13" s="47">
        <v>0.0</v>
      </c>
      <c r="J13" s="47">
        <v>0.0</v>
      </c>
      <c r="K13" s="47">
        <v>1.0</v>
      </c>
      <c r="L13" s="47">
        <v>0.0</v>
      </c>
      <c r="M13" s="47">
        <v>0.0</v>
      </c>
      <c r="N13" s="47">
        <v>0.0</v>
      </c>
      <c r="O13" s="47">
        <v>0.0</v>
      </c>
      <c r="P13" s="47">
        <v>0.0</v>
      </c>
      <c r="Q13" s="47">
        <v>0.0</v>
      </c>
      <c r="R13" s="47">
        <v>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>
        <v>0.0</v>
      </c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7">
        <v>0.0</v>
      </c>
      <c r="AF13" s="47">
        <v>0.0</v>
      </c>
      <c r="AG13" s="47">
        <v>0.0</v>
      </c>
      <c r="AH13" s="47">
        <v>0.0</v>
      </c>
      <c r="AI13" s="47">
        <v>0.0</v>
      </c>
      <c r="AJ13" s="47">
        <v>0.0</v>
      </c>
      <c r="AK13" s="47">
        <v>0.0</v>
      </c>
      <c r="AL13" s="47">
        <v>0.0</v>
      </c>
      <c r="AM13" s="47">
        <v>0.0</v>
      </c>
      <c r="AN13" s="47">
        <v>0.0</v>
      </c>
      <c r="AO13" s="47">
        <v>0.0</v>
      </c>
      <c r="AP13" s="47">
        <v>0.0</v>
      </c>
      <c r="AQ13" s="47">
        <v>0.0</v>
      </c>
      <c r="AR13" s="47">
        <v>0.0</v>
      </c>
      <c r="AS13" s="47">
        <v>0.0</v>
      </c>
      <c r="AT13" s="47">
        <v>0.0</v>
      </c>
      <c r="AU13" s="47">
        <v>0.0</v>
      </c>
      <c r="AV13" s="47">
        <v>0.0</v>
      </c>
      <c r="AW13" s="47">
        <v>0.0</v>
      </c>
      <c r="AX13" s="47">
        <v>0.0</v>
      </c>
      <c r="AY13" s="47">
        <v>0.0</v>
      </c>
      <c r="AZ13" s="47">
        <v>0.0</v>
      </c>
      <c r="BA13" s="47">
        <v>0.0</v>
      </c>
      <c r="BB13" s="47">
        <v>0.0</v>
      </c>
      <c r="BC13" s="47">
        <v>0.0</v>
      </c>
      <c r="BD13" s="47">
        <v>0.0</v>
      </c>
      <c r="BE13" s="47">
        <v>0.0</v>
      </c>
      <c r="BG13" s="47">
        <v>0.0</v>
      </c>
      <c r="BH13" s="47">
        <v>0.0</v>
      </c>
      <c r="BI13" s="47">
        <v>0.0</v>
      </c>
      <c r="BJ13" s="47">
        <v>0.0</v>
      </c>
      <c r="BK13" s="47">
        <v>0.0</v>
      </c>
      <c r="BL13" s="47">
        <v>0.0</v>
      </c>
      <c r="BM13" s="47">
        <v>0.0</v>
      </c>
      <c r="BN13" s="47">
        <v>0.0</v>
      </c>
      <c r="BO13" s="47">
        <v>0.0</v>
      </c>
      <c r="BP13" s="47">
        <v>0.0</v>
      </c>
      <c r="BQ13" s="47">
        <v>0.0</v>
      </c>
      <c r="BR13" s="47">
        <v>0.0</v>
      </c>
      <c r="BS13" s="47">
        <v>0.0</v>
      </c>
      <c r="BT13" s="47">
        <v>0.0</v>
      </c>
      <c r="BU13" s="47">
        <v>0.0</v>
      </c>
      <c r="BV13" s="47">
        <v>0.0</v>
      </c>
      <c r="BW13" s="47">
        <v>0.0</v>
      </c>
      <c r="BX13" s="47">
        <v>0.0</v>
      </c>
      <c r="BY13" s="47">
        <v>0.0</v>
      </c>
      <c r="BZ13" s="47">
        <v>0.0</v>
      </c>
      <c r="CA13" s="47">
        <v>0.0</v>
      </c>
      <c r="CB13" s="47">
        <v>0.0</v>
      </c>
      <c r="CC13" s="47">
        <v>0.0</v>
      </c>
      <c r="CD13" s="47">
        <v>0.0</v>
      </c>
      <c r="CE13" s="47">
        <v>0.0</v>
      </c>
      <c r="CF13" s="47">
        <v>0.0</v>
      </c>
      <c r="CG13" s="47">
        <v>0.0</v>
      </c>
      <c r="CH13" s="47">
        <v>0.0</v>
      </c>
      <c r="CI13" s="47">
        <v>0.0</v>
      </c>
      <c r="CJ13" s="47">
        <v>0.0</v>
      </c>
      <c r="CK13" s="47">
        <v>0.0</v>
      </c>
      <c r="CL13" s="47">
        <v>0.0</v>
      </c>
      <c r="CM13" s="47">
        <v>0.0</v>
      </c>
      <c r="CN13" s="47">
        <v>0.0</v>
      </c>
      <c r="CO13" s="47">
        <v>0.0</v>
      </c>
      <c r="CP13" s="47">
        <v>0.0</v>
      </c>
      <c r="CQ13" s="47">
        <v>0.0</v>
      </c>
      <c r="CR13" s="47">
        <v>0.0</v>
      </c>
      <c r="CS13" s="47">
        <v>0.0</v>
      </c>
      <c r="CT13" s="47">
        <v>0.0</v>
      </c>
    </row>
    <row r="14" ht="15.0" customHeight="1">
      <c r="A14" s="44" t="s">
        <v>36</v>
      </c>
      <c r="B14" s="38">
        <v>35715.0</v>
      </c>
      <c r="C14" s="39">
        <f t="shared" si="1"/>
        <v>1997</v>
      </c>
      <c r="D14" s="39" t="str">
        <f t="shared" si="2"/>
        <v>Fall</v>
      </c>
      <c r="E14" s="48"/>
      <c r="F14" s="48"/>
      <c r="G14" s="48"/>
      <c r="H14" s="42" t="s">
        <v>20</v>
      </c>
      <c r="I14" s="47">
        <v>0.0</v>
      </c>
      <c r="J14" s="47">
        <v>0.0</v>
      </c>
      <c r="K14" s="47">
        <v>1.0</v>
      </c>
      <c r="L14" s="47">
        <v>1.0</v>
      </c>
      <c r="M14" s="47">
        <v>0.0</v>
      </c>
      <c r="N14" s="47">
        <v>0.0</v>
      </c>
      <c r="O14" s="47">
        <v>0.0</v>
      </c>
      <c r="P14" s="47">
        <v>0.0</v>
      </c>
      <c r="Q14" s="47">
        <v>0.0</v>
      </c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47">
        <v>0.0</v>
      </c>
      <c r="Y14" s="47">
        <v>0.0</v>
      </c>
      <c r="Z14" s="47">
        <v>0.0</v>
      </c>
      <c r="AA14" s="47">
        <v>0.0</v>
      </c>
      <c r="AB14" s="47">
        <v>0.0</v>
      </c>
      <c r="AC14" s="47">
        <v>0.0</v>
      </c>
      <c r="AD14" s="47">
        <v>0.0</v>
      </c>
      <c r="AE14" s="47">
        <v>0.0</v>
      </c>
      <c r="AF14" s="47">
        <v>0.0</v>
      </c>
      <c r="AG14" s="47">
        <v>0.0</v>
      </c>
      <c r="AH14" s="47">
        <v>0.0</v>
      </c>
      <c r="AI14" s="47">
        <v>0.0</v>
      </c>
      <c r="AJ14" s="47">
        <v>0.0</v>
      </c>
      <c r="AK14" s="47">
        <v>0.0</v>
      </c>
      <c r="AL14" s="47">
        <v>0.0</v>
      </c>
      <c r="AM14" s="47">
        <v>0.0</v>
      </c>
      <c r="AN14" s="47">
        <v>0.0</v>
      </c>
      <c r="AO14" s="47">
        <v>0.0</v>
      </c>
      <c r="AP14" s="47">
        <v>0.0</v>
      </c>
      <c r="AQ14" s="47">
        <v>0.0</v>
      </c>
      <c r="AR14" s="47">
        <v>0.0</v>
      </c>
      <c r="AS14" s="47">
        <v>0.0</v>
      </c>
      <c r="AT14" s="47">
        <v>0.0</v>
      </c>
      <c r="AU14" s="47">
        <v>0.0</v>
      </c>
      <c r="AV14" s="47">
        <v>0.0</v>
      </c>
      <c r="AW14" s="47">
        <v>0.0</v>
      </c>
      <c r="AX14" s="47">
        <v>0.0</v>
      </c>
      <c r="AY14" s="47">
        <v>0.0</v>
      </c>
      <c r="AZ14" s="47">
        <v>0.0</v>
      </c>
      <c r="BA14" s="47">
        <v>0.0</v>
      </c>
      <c r="BB14" s="47">
        <v>0.0</v>
      </c>
      <c r="BC14" s="47">
        <v>0.0</v>
      </c>
      <c r="BD14" s="47">
        <v>0.0</v>
      </c>
      <c r="BE14" s="47">
        <v>0.0</v>
      </c>
      <c r="BF14" s="47">
        <v>0.0</v>
      </c>
      <c r="BG14" s="47">
        <v>0.0</v>
      </c>
      <c r="BH14" s="47">
        <v>0.0</v>
      </c>
      <c r="BI14" s="47">
        <v>0.0</v>
      </c>
      <c r="BJ14" s="47">
        <v>0.0</v>
      </c>
      <c r="BK14" s="47">
        <v>0.0</v>
      </c>
      <c r="BL14" s="47">
        <v>0.0</v>
      </c>
      <c r="BM14" s="47">
        <v>0.0</v>
      </c>
      <c r="BN14" s="47">
        <v>0.0</v>
      </c>
      <c r="BO14" s="47">
        <v>0.0</v>
      </c>
      <c r="BP14" s="47">
        <v>0.0</v>
      </c>
      <c r="BQ14" s="47">
        <v>0.0</v>
      </c>
      <c r="BR14" s="47">
        <v>0.0</v>
      </c>
      <c r="BS14" s="47">
        <v>0.0</v>
      </c>
      <c r="BT14" s="47">
        <v>0.0</v>
      </c>
      <c r="BU14" s="47">
        <v>0.0</v>
      </c>
      <c r="BV14" s="47">
        <v>0.0</v>
      </c>
      <c r="BW14" s="47">
        <v>0.0</v>
      </c>
      <c r="BX14" s="47">
        <v>0.0</v>
      </c>
      <c r="BY14" s="47">
        <v>0.0</v>
      </c>
      <c r="BZ14" s="47">
        <v>0.0</v>
      </c>
      <c r="CA14" s="47">
        <v>0.0</v>
      </c>
      <c r="CB14" s="47">
        <v>0.0</v>
      </c>
      <c r="CC14" s="47">
        <v>0.0</v>
      </c>
      <c r="CD14" s="47">
        <v>0.0</v>
      </c>
      <c r="CE14" s="47">
        <v>0.0</v>
      </c>
      <c r="CF14" s="47">
        <v>0.0</v>
      </c>
      <c r="CG14" s="47">
        <v>0.0</v>
      </c>
      <c r="CH14" s="47">
        <v>0.0</v>
      </c>
      <c r="CI14" s="47">
        <v>0.0</v>
      </c>
      <c r="CJ14" s="47">
        <v>0.0</v>
      </c>
      <c r="CK14" s="47">
        <v>0.0</v>
      </c>
      <c r="CL14" s="47">
        <v>0.0</v>
      </c>
      <c r="CM14" s="47">
        <v>0.0</v>
      </c>
      <c r="CN14" s="47">
        <v>0.0</v>
      </c>
      <c r="CO14" s="47">
        <v>0.0</v>
      </c>
      <c r="CP14" s="47">
        <v>0.0</v>
      </c>
      <c r="CQ14" s="47">
        <v>0.0</v>
      </c>
      <c r="CR14" s="47">
        <v>0.0</v>
      </c>
      <c r="CS14" s="47">
        <v>0.0</v>
      </c>
      <c r="CT14" s="47">
        <v>0.0</v>
      </c>
    </row>
    <row r="15" ht="15.0" customHeight="1">
      <c r="A15" s="44" t="s">
        <v>37</v>
      </c>
      <c r="B15" s="38">
        <v>36070.0</v>
      </c>
      <c r="C15" s="39">
        <f t="shared" si="1"/>
        <v>1998</v>
      </c>
      <c r="D15" s="39" t="str">
        <f t="shared" si="2"/>
        <v>Fall</v>
      </c>
      <c r="E15" s="45" t="s">
        <v>38</v>
      </c>
      <c r="F15" s="45" t="s">
        <v>39</v>
      </c>
      <c r="G15" s="45"/>
      <c r="H15" s="42" t="s">
        <v>20</v>
      </c>
      <c r="I15" s="47">
        <v>1.0</v>
      </c>
      <c r="J15" s="47">
        <v>1.0</v>
      </c>
      <c r="K15" s="47">
        <v>1.0</v>
      </c>
      <c r="L15" s="47">
        <v>1.0</v>
      </c>
      <c r="M15" s="47">
        <v>1.0</v>
      </c>
      <c r="N15" s="47">
        <v>0.0</v>
      </c>
      <c r="O15" s="47"/>
      <c r="P15" s="47"/>
      <c r="Q15" s="47"/>
      <c r="R15" s="47"/>
      <c r="S15" s="47"/>
      <c r="T15" s="47"/>
      <c r="U15" s="47">
        <v>0.0</v>
      </c>
      <c r="V15" s="47">
        <v>0.0</v>
      </c>
      <c r="W15" s="47">
        <v>1.0</v>
      </c>
      <c r="X15" s="47">
        <v>1.0</v>
      </c>
      <c r="Y15" s="47">
        <v>0.0</v>
      </c>
      <c r="Z15" s="47">
        <v>0.0</v>
      </c>
      <c r="AA15" s="47">
        <v>0.0</v>
      </c>
      <c r="AB15" s="47">
        <v>0.0</v>
      </c>
      <c r="AC15" s="47">
        <v>0.0</v>
      </c>
      <c r="AD15" s="47">
        <v>0.0</v>
      </c>
      <c r="AE15" s="47">
        <v>0.0</v>
      </c>
      <c r="AF15" s="47">
        <v>0.0</v>
      </c>
      <c r="AG15" s="47">
        <v>0.0</v>
      </c>
      <c r="AH15" s="47">
        <v>0.0</v>
      </c>
      <c r="AI15" s="47">
        <v>0.0</v>
      </c>
      <c r="AJ15" s="47">
        <v>0.0</v>
      </c>
      <c r="AK15" s="47">
        <v>0.0</v>
      </c>
      <c r="AL15" s="47">
        <v>0.0</v>
      </c>
      <c r="AM15" s="47">
        <v>0.0</v>
      </c>
      <c r="AN15" s="47">
        <v>0.0</v>
      </c>
      <c r="AO15" s="47">
        <v>0.0</v>
      </c>
      <c r="AP15" s="47">
        <v>0.0</v>
      </c>
      <c r="AQ15" s="47">
        <v>0.0</v>
      </c>
      <c r="AR15" s="47">
        <v>0.0</v>
      </c>
      <c r="AS15" s="47">
        <v>0.0</v>
      </c>
      <c r="AT15" s="47">
        <v>0.0</v>
      </c>
      <c r="AU15" s="47">
        <v>0.0</v>
      </c>
      <c r="AV15" s="47">
        <v>0.0</v>
      </c>
      <c r="AW15" s="47">
        <v>0.0</v>
      </c>
      <c r="AX15" s="47">
        <v>0.0</v>
      </c>
      <c r="AY15" s="47">
        <v>0.0</v>
      </c>
      <c r="AZ15" s="47">
        <v>0.0</v>
      </c>
      <c r="BA15" s="47">
        <v>0.0</v>
      </c>
      <c r="BB15" s="47">
        <v>0.0</v>
      </c>
      <c r="BC15" s="47">
        <v>0.0</v>
      </c>
      <c r="BD15" s="47">
        <v>0.0</v>
      </c>
      <c r="BE15" s="47">
        <v>0.0</v>
      </c>
      <c r="BF15" s="47">
        <v>0.0</v>
      </c>
      <c r="BG15" s="47">
        <v>0.0</v>
      </c>
      <c r="BH15" s="47">
        <v>0.0</v>
      </c>
      <c r="BI15" s="47">
        <v>0.0</v>
      </c>
      <c r="BJ15" s="47">
        <v>0.0</v>
      </c>
      <c r="BK15" s="47">
        <v>0.0</v>
      </c>
      <c r="BL15" s="47">
        <v>0.0</v>
      </c>
      <c r="BM15" s="47">
        <v>0.0</v>
      </c>
      <c r="BN15" s="47">
        <v>0.0</v>
      </c>
      <c r="BO15" s="47">
        <v>0.0</v>
      </c>
      <c r="BP15" s="47">
        <v>0.0</v>
      </c>
      <c r="BQ15" s="47">
        <v>0.0</v>
      </c>
      <c r="BR15" s="47">
        <v>0.0</v>
      </c>
      <c r="BS15" s="47">
        <v>0.0</v>
      </c>
      <c r="BT15" s="47">
        <v>0.0</v>
      </c>
      <c r="BU15" s="47">
        <v>0.0</v>
      </c>
      <c r="BV15" s="47">
        <v>0.0</v>
      </c>
      <c r="BW15" s="47">
        <v>0.0</v>
      </c>
      <c r="BX15" s="47">
        <v>0.0</v>
      </c>
      <c r="BY15" s="47">
        <v>0.0</v>
      </c>
      <c r="BZ15" s="47">
        <v>0.0</v>
      </c>
      <c r="CA15" s="47">
        <v>0.0</v>
      </c>
      <c r="CB15" s="47">
        <v>0.0</v>
      </c>
      <c r="CC15" s="47">
        <v>0.0</v>
      </c>
      <c r="CD15" s="47">
        <v>0.0</v>
      </c>
      <c r="CE15" s="47">
        <v>0.0</v>
      </c>
      <c r="CF15" s="47">
        <v>0.0</v>
      </c>
      <c r="CG15" s="47">
        <v>0.0</v>
      </c>
      <c r="CH15" s="47">
        <v>0.0</v>
      </c>
      <c r="CI15" s="47">
        <v>0.0</v>
      </c>
      <c r="CJ15" s="47">
        <v>0.0</v>
      </c>
      <c r="CK15" s="47">
        <v>0.0</v>
      </c>
      <c r="CL15" s="47">
        <v>0.0</v>
      </c>
      <c r="CM15" s="47">
        <v>0.0</v>
      </c>
      <c r="CN15" s="47">
        <v>0.0</v>
      </c>
      <c r="CO15" s="47">
        <v>0.0</v>
      </c>
      <c r="CP15" s="47">
        <v>0.0</v>
      </c>
      <c r="CQ15" s="47">
        <v>0.0</v>
      </c>
      <c r="CR15" s="47">
        <v>0.0</v>
      </c>
      <c r="CS15" s="47">
        <v>0.0</v>
      </c>
      <c r="CT15" s="47">
        <v>0.0</v>
      </c>
    </row>
    <row r="16" ht="15.0" customHeight="1">
      <c r="A16" s="44" t="s">
        <v>40</v>
      </c>
      <c r="B16" s="38">
        <v>38132.0</v>
      </c>
      <c r="C16" s="39">
        <f t="shared" si="1"/>
        <v>2004</v>
      </c>
      <c r="D16" s="39" t="str">
        <f t="shared" si="2"/>
        <v>Spring</v>
      </c>
      <c r="E16" s="48"/>
      <c r="F16" s="48"/>
      <c r="G16" s="49" t="s">
        <v>41</v>
      </c>
      <c r="H16" s="50" t="s">
        <v>42</v>
      </c>
      <c r="I16" s="43">
        <v>1.0</v>
      </c>
      <c r="J16" s="43">
        <v>1.0</v>
      </c>
      <c r="K16" s="43">
        <v>1.0</v>
      </c>
      <c r="L16" s="43">
        <v>1.0</v>
      </c>
      <c r="M16" s="43">
        <v>1.0</v>
      </c>
      <c r="N16" s="43">
        <v>1.0</v>
      </c>
      <c r="O16" s="43">
        <v>0.0</v>
      </c>
      <c r="P16" s="43">
        <v>1.0</v>
      </c>
      <c r="Q16" s="43">
        <v>1.0</v>
      </c>
      <c r="R16" s="43">
        <v>1.0</v>
      </c>
      <c r="S16" s="43">
        <v>1.0</v>
      </c>
      <c r="T16" s="43">
        <v>1.0</v>
      </c>
      <c r="U16" s="43">
        <v>1.0</v>
      </c>
      <c r="V16" s="43">
        <v>0.0</v>
      </c>
      <c r="W16" s="43">
        <v>0.0</v>
      </c>
      <c r="X16" s="43">
        <v>1.0</v>
      </c>
      <c r="Y16" s="43">
        <v>1.0</v>
      </c>
      <c r="Z16" s="43">
        <v>1.0</v>
      </c>
      <c r="AA16" s="43">
        <v>0.0</v>
      </c>
      <c r="AB16" s="43">
        <v>0.0</v>
      </c>
      <c r="AC16" s="43">
        <v>0.0</v>
      </c>
      <c r="AD16" s="43">
        <v>0.0</v>
      </c>
      <c r="AE16" s="43">
        <v>0.0</v>
      </c>
      <c r="AF16" s="43">
        <v>0.0</v>
      </c>
      <c r="AG16" s="43">
        <v>0.0</v>
      </c>
      <c r="AH16" s="43">
        <v>1.0</v>
      </c>
      <c r="AI16" s="43">
        <v>1.0</v>
      </c>
      <c r="AJ16" s="43">
        <v>0.0</v>
      </c>
      <c r="AK16" s="43">
        <v>1.0</v>
      </c>
      <c r="AL16" s="43">
        <v>0.0</v>
      </c>
      <c r="AM16" s="43">
        <v>0.0</v>
      </c>
      <c r="AN16" s="43">
        <v>0.0</v>
      </c>
      <c r="AO16" s="43">
        <v>1.0</v>
      </c>
      <c r="AP16" s="43">
        <v>1.0</v>
      </c>
      <c r="AQ16" s="43">
        <v>1.0</v>
      </c>
      <c r="AR16" s="43">
        <v>1.0</v>
      </c>
      <c r="AS16" s="43">
        <v>1.0</v>
      </c>
      <c r="AT16" s="43">
        <v>0.0</v>
      </c>
      <c r="AU16" s="43">
        <v>0.0</v>
      </c>
      <c r="AV16" s="43">
        <v>0.0</v>
      </c>
      <c r="AW16" s="43">
        <v>0.0</v>
      </c>
      <c r="AX16" s="43">
        <v>0.0</v>
      </c>
      <c r="AY16" s="43">
        <v>0.0</v>
      </c>
      <c r="AZ16" s="43">
        <v>0.0</v>
      </c>
      <c r="BA16" s="43">
        <v>0.0</v>
      </c>
      <c r="BB16" s="43">
        <v>1.0</v>
      </c>
      <c r="BC16" s="43">
        <v>1.0</v>
      </c>
      <c r="BD16" s="43">
        <v>1.0</v>
      </c>
      <c r="BE16" s="43">
        <v>1.0</v>
      </c>
      <c r="BF16" s="43">
        <v>1.0</v>
      </c>
      <c r="BG16" s="43">
        <v>1.0</v>
      </c>
      <c r="BH16" s="43">
        <v>1.0</v>
      </c>
      <c r="BI16" s="43">
        <v>1.0</v>
      </c>
      <c r="BJ16" s="43">
        <v>1.0</v>
      </c>
      <c r="BK16" s="43">
        <v>1.0</v>
      </c>
      <c r="BL16" s="43">
        <v>1.0</v>
      </c>
      <c r="BM16" s="43">
        <v>1.0</v>
      </c>
      <c r="BN16" s="43">
        <v>1.0</v>
      </c>
      <c r="BO16" s="43">
        <v>0.0</v>
      </c>
      <c r="BP16" s="43">
        <v>0.0</v>
      </c>
      <c r="BQ16" s="43">
        <v>0.0</v>
      </c>
      <c r="BR16" s="43">
        <v>0.0</v>
      </c>
      <c r="BS16" s="43">
        <v>0.0</v>
      </c>
      <c r="BT16" s="43">
        <v>0.0</v>
      </c>
      <c r="BU16" s="43">
        <v>0.0</v>
      </c>
      <c r="BV16" s="43">
        <v>1.0</v>
      </c>
      <c r="BW16" s="43">
        <v>1.0</v>
      </c>
      <c r="BX16" s="43">
        <v>0.0</v>
      </c>
      <c r="BY16" s="43">
        <v>0.0</v>
      </c>
      <c r="BZ16" s="43">
        <v>0.0</v>
      </c>
      <c r="CA16" s="43">
        <v>0.0</v>
      </c>
      <c r="CB16" s="43">
        <v>0.0</v>
      </c>
      <c r="CC16" s="43">
        <v>0.0</v>
      </c>
      <c r="CD16" s="43">
        <v>0.0</v>
      </c>
      <c r="CE16" s="43">
        <v>0.0</v>
      </c>
      <c r="CF16" s="43">
        <v>1.0</v>
      </c>
      <c r="CG16" s="43">
        <v>1.0</v>
      </c>
      <c r="CH16" s="43">
        <v>1.0</v>
      </c>
      <c r="CI16" s="43">
        <v>1.0</v>
      </c>
      <c r="CJ16" s="43">
        <v>1.0</v>
      </c>
      <c r="CK16" s="43">
        <v>1.0</v>
      </c>
      <c r="CL16" s="43">
        <v>1.0</v>
      </c>
      <c r="CM16" s="43">
        <v>1.0</v>
      </c>
      <c r="CN16" s="43">
        <v>1.0</v>
      </c>
      <c r="CO16" s="43">
        <v>1.0</v>
      </c>
      <c r="CP16" s="43">
        <v>1.0</v>
      </c>
      <c r="CQ16" s="43">
        <v>1.0</v>
      </c>
      <c r="CR16" s="43">
        <v>1.0</v>
      </c>
      <c r="CS16" s="43">
        <v>0.0</v>
      </c>
      <c r="CT16" s="43">
        <v>0.0</v>
      </c>
    </row>
    <row r="17" ht="15.0" customHeight="1">
      <c r="A17" s="51" t="str">
        <f t="shared" ref="A17:A500" si="3">IF(B17="","",TEXT(ROW()-4,"OBS-000"))</f>
        <v/>
      </c>
      <c r="B17" s="45"/>
      <c r="C17" s="39" t="str">
        <f t="shared" si="1"/>
        <v/>
      </c>
      <c r="D17" s="39" t="str">
        <f t="shared" si="2"/>
        <v/>
      </c>
      <c r="E17" s="45"/>
      <c r="F17" s="45"/>
      <c r="G17" s="45"/>
      <c r="H17" s="52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</row>
    <row r="18" ht="15.0" customHeight="1">
      <c r="A18" s="54" t="str">
        <f t="shared" si="3"/>
        <v/>
      </c>
      <c r="B18" s="48"/>
      <c r="C18" s="55" t="str">
        <f t="shared" si="1"/>
        <v/>
      </c>
      <c r="D18" s="55" t="str">
        <f t="shared" si="2"/>
        <v/>
      </c>
      <c r="E18" s="48"/>
      <c r="F18" s="48"/>
      <c r="G18" s="48"/>
      <c r="H18" s="56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</row>
    <row r="19" ht="15.0" customHeight="1">
      <c r="A19" s="51" t="str">
        <f t="shared" si="3"/>
        <v/>
      </c>
      <c r="B19" s="45"/>
      <c r="C19" s="39" t="str">
        <f t="shared" si="1"/>
        <v/>
      </c>
      <c r="D19" s="39" t="str">
        <f t="shared" si="2"/>
        <v/>
      </c>
      <c r="E19" s="45"/>
      <c r="F19" s="45"/>
      <c r="G19" s="45"/>
      <c r="H19" s="52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</row>
    <row r="20" ht="15.0" customHeight="1">
      <c r="A20" s="54" t="str">
        <f t="shared" si="3"/>
        <v/>
      </c>
      <c r="B20" s="48"/>
      <c r="C20" s="55" t="str">
        <f t="shared" si="1"/>
        <v/>
      </c>
      <c r="D20" s="55" t="str">
        <f t="shared" si="2"/>
        <v/>
      </c>
      <c r="E20" s="48"/>
      <c r="F20" s="48"/>
      <c r="G20" s="48"/>
      <c r="H20" s="56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</row>
    <row r="21" ht="15.0" customHeight="1">
      <c r="A21" s="51" t="str">
        <f t="shared" si="3"/>
        <v/>
      </c>
      <c r="B21" s="45"/>
      <c r="C21" s="39" t="str">
        <f t="shared" si="1"/>
        <v/>
      </c>
      <c r="D21" s="39" t="str">
        <f t="shared" si="2"/>
        <v/>
      </c>
      <c r="E21" s="45"/>
      <c r="F21" s="45"/>
      <c r="G21" s="45"/>
      <c r="H21" s="52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</row>
    <row r="22" ht="15.0" customHeight="1">
      <c r="A22" s="54" t="str">
        <f t="shared" si="3"/>
        <v/>
      </c>
      <c r="B22" s="48"/>
      <c r="C22" s="55" t="str">
        <f t="shared" si="1"/>
        <v/>
      </c>
      <c r="D22" s="55" t="str">
        <f t="shared" si="2"/>
        <v/>
      </c>
      <c r="E22" s="48"/>
      <c r="F22" s="48"/>
      <c r="G22" s="48"/>
      <c r="H22" s="56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</row>
    <row r="23" ht="15.0" customHeight="1">
      <c r="A23" s="51" t="str">
        <f t="shared" si="3"/>
        <v/>
      </c>
      <c r="B23" s="45"/>
      <c r="C23" s="39" t="str">
        <f t="shared" si="1"/>
        <v/>
      </c>
      <c r="D23" s="39" t="str">
        <f t="shared" si="2"/>
        <v/>
      </c>
      <c r="E23" s="45"/>
      <c r="F23" s="45"/>
      <c r="G23" s="45"/>
      <c r="H23" s="52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</row>
    <row r="24" ht="15.0" customHeight="1">
      <c r="A24" s="54" t="str">
        <f t="shared" si="3"/>
        <v/>
      </c>
      <c r="B24" s="48"/>
      <c r="C24" s="55" t="str">
        <f t="shared" si="1"/>
        <v/>
      </c>
      <c r="D24" s="55" t="str">
        <f t="shared" si="2"/>
        <v/>
      </c>
      <c r="E24" s="48"/>
      <c r="F24" s="48"/>
      <c r="G24" s="48"/>
      <c r="H24" s="56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</row>
    <row r="25" ht="15.0" customHeight="1">
      <c r="A25" s="51" t="str">
        <f t="shared" si="3"/>
        <v/>
      </c>
      <c r="B25" s="45"/>
      <c r="C25" s="39" t="str">
        <f t="shared" si="1"/>
        <v/>
      </c>
      <c r="D25" s="39" t="str">
        <f t="shared" si="2"/>
        <v/>
      </c>
      <c r="E25" s="45"/>
      <c r="F25" s="45"/>
      <c r="G25" s="45"/>
      <c r="H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</row>
    <row r="26" ht="15.0" customHeight="1">
      <c r="A26" s="54" t="str">
        <f t="shared" si="3"/>
        <v/>
      </c>
      <c r="B26" s="48"/>
      <c r="C26" s="55" t="str">
        <f t="shared" si="1"/>
        <v/>
      </c>
      <c r="D26" s="55" t="str">
        <f t="shared" si="2"/>
        <v/>
      </c>
      <c r="E26" s="48"/>
      <c r="F26" s="48"/>
      <c r="G26" s="48"/>
      <c r="H26" s="56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</row>
    <row r="27" ht="15.0" customHeight="1">
      <c r="A27" s="51" t="str">
        <f t="shared" si="3"/>
        <v/>
      </c>
      <c r="B27" s="45"/>
      <c r="C27" s="39" t="str">
        <f t="shared" si="1"/>
        <v/>
      </c>
      <c r="D27" s="39" t="str">
        <f t="shared" si="2"/>
        <v/>
      </c>
      <c r="E27" s="45"/>
      <c r="F27" s="45"/>
      <c r="G27" s="45"/>
      <c r="H27" s="52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</row>
    <row r="28" ht="15.0" customHeight="1">
      <c r="A28" s="54" t="str">
        <f t="shared" si="3"/>
        <v/>
      </c>
      <c r="B28" s="48"/>
      <c r="C28" s="55" t="str">
        <f t="shared" si="1"/>
        <v/>
      </c>
      <c r="D28" s="55" t="str">
        <f t="shared" si="2"/>
        <v/>
      </c>
      <c r="E28" s="48"/>
      <c r="F28" s="48"/>
      <c r="G28" s="48"/>
      <c r="H28" s="56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</row>
    <row r="29" ht="15.0" customHeight="1">
      <c r="A29" s="51" t="str">
        <f t="shared" si="3"/>
        <v/>
      </c>
      <c r="B29" s="45"/>
      <c r="C29" s="39" t="str">
        <f t="shared" si="1"/>
        <v/>
      </c>
      <c r="D29" s="39" t="str">
        <f t="shared" si="2"/>
        <v/>
      </c>
      <c r="E29" s="45"/>
      <c r="F29" s="45"/>
      <c r="G29" s="45"/>
      <c r="H29" s="52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</row>
    <row r="30" ht="15.0" customHeight="1">
      <c r="A30" s="54" t="str">
        <f t="shared" si="3"/>
        <v/>
      </c>
      <c r="B30" s="48"/>
      <c r="C30" s="55" t="str">
        <f t="shared" si="1"/>
        <v/>
      </c>
      <c r="D30" s="55" t="str">
        <f t="shared" si="2"/>
        <v/>
      </c>
      <c r="E30" s="48"/>
      <c r="F30" s="48"/>
      <c r="G30" s="48"/>
      <c r="H30" s="56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</row>
    <row r="31" ht="15.0" customHeight="1">
      <c r="A31" s="51" t="str">
        <f t="shared" si="3"/>
        <v/>
      </c>
      <c r="B31" s="45"/>
      <c r="C31" s="39" t="str">
        <f t="shared" si="1"/>
        <v/>
      </c>
      <c r="D31" s="39" t="str">
        <f t="shared" si="2"/>
        <v/>
      </c>
      <c r="E31" s="45"/>
      <c r="F31" s="45"/>
      <c r="G31" s="45"/>
      <c r="H31" s="52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</row>
    <row r="32" ht="15.0" customHeight="1">
      <c r="A32" s="54" t="str">
        <f t="shared" si="3"/>
        <v/>
      </c>
      <c r="B32" s="48"/>
      <c r="C32" s="55" t="str">
        <f t="shared" si="1"/>
        <v/>
      </c>
      <c r="D32" s="55" t="str">
        <f t="shared" si="2"/>
        <v/>
      </c>
      <c r="E32" s="48"/>
      <c r="F32" s="48"/>
      <c r="G32" s="48"/>
      <c r="H32" s="56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</row>
    <row r="33" ht="15.0" customHeight="1">
      <c r="A33" s="51" t="str">
        <f t="shared" si="3"/>
        <v/>
      </c>
      <c r="B33" s="45"/>
      <c r="C33" s="39" t="str">
        <f t="shared" si="1"/>
        <v/>
      </c>
      <c r="D33" s="39" t="str">
        <f t="shared" si="2"/>
        <v/>
      </c>
      <c r="E33" s="45"/>
      <c r="F33" s="45"/>
      <c r="G33" s="45"/>
      <c r="H33" s="52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</row>
    <row r="34" ht="15.0" customHeight="1">
      <c r="A34" s="54" t="str">
        <f t="shared" si="3"/>
        <v/>
      </c>
      <c r="B34" s="48"/>
      <c r="C34" s="55" t="str">
        <f t="shared" si="1"/>
        <v/>
      </c>
      <c r="D34" s="55" t="str">
        <f t="shared" si="2"/>
        <v/>
      </c>
      <c r="E34" s="48"/>
      <c r="F34" s="48"/>
      <c r="G34" s="48"/>
      <c r="H34" s="56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</row>
    <row r="35" ht="15.0" customHeight="1">
      <c r="A35" s="51" t="str">
        <f t="shared" si="3"/>
        <v/>
      </c>
      <c r="B35" s="45"/>
      <c r="C35" s="39" t="str">
        <f t="shared" si="1"/>
        <v/>
      </c>
      <c r="D35" s="39" t="str">
        <f t="shared" si="2"/>
        <v/>
      </c>
      <c r="E35" s="45"/>
      <c r="F35" s="45"/>
      <c r="G35" s="45"/>
      <c r="H35" s="52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</row>
    <row r="36" ht="15.0" customHeight="1">
      <c r="A36" s="54" t="str">
        <f t="shared" si="3"/>
        <v/>
      </c>
      <c r="B36" s="48"/>
      <c r="C36" s="55" t="str">
        <f t="shared" si="1"/>
        <v/>
      </c>
      <c r="D36" s="55" t="str">
        <f t="shared" si="2"/>
        <v/>
      </c>
      <c r="E36" s="48"/>
      <c r="F36" s="48"/>
      <c r="G36" s="48"/>
      <c r="H36" s="56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</row>
    <row r="37" ht="15.0" customHeight="1">
      <c r="A37" s="51" t="str">
        <f t="shared" si="3"/>
        <v/>
      </c>
      <c r="B37" s="45"/>
      <c r="C37" s="39" t="str">
        <f t="shared" si="1"/>
        <v/>
      </c>
      <c r="D37" s="39" t="str">
        <f t="shared" si="2"/>
        <v/>
      </c>
      <c r="E37" s="45"/>
      <c r="F37" s="45"/>
      <c r="G37" s="45"/>
      <c r="H37" s="52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</row>
    <row r="38" ht="15.0" customHeight="1">
      <c r="A38" s="54" t="str">
        <f t="shared" si="3"/>
        <v/>
      </c>
      <c r="B38" s="48"/>
      <c r="C38" s="55" t="str">
        <f t="shared" si="1"/>
        <v/>
      </c>
      <c r="D38" s="55" t="str">
        <f t="shared" si="2"/>
        <v/>
      </c>
      <c r="E38" s="48"/>
      <c r="F38" s="48"/>
      <c r="G38" s="48"/>
      <c r="H38" s="56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</row>
    <row r="39" ht="15.0" customHeight="1">
      <c r="A39" s="51" t="str">
        <f t="shared" si="3"/>
        <v/>
      </c>
      <c r="B39" s="45"/>
      <c r="C39" s="39" t="str">
        <f t="shared" si="1"/>
        <v/>
      </c>
      <c r="D39" s="39" t="str">
        <f t="shared" si="2"/>
        <v/>
      </c>
      <c r="E39" s="45"/>
      <c r="F39" s="45"/>
      <c r="G39" s="45"/>
      <c r="H39" s="52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</row>
    <row r="40" ht="15.0" customHeight="1">
      <c r="A40" s="54" t="str">
        <f t="shared" si="3"/>
        <v/>
      </c>
      <c r="B40" s="48"/>
      <c r="C40" s="55" t="str">
        <f t="shared" si="1"/>
        <v/>
      </c>
      <c r="D40" s="55" t="str">
        <f t="shared" si="2"/>
        <v/>
      </c>
      <c r="E40" s="48"/>
      <c r="F40" s="48"/>
      <c r="G40" s="48"/>
      <c r="H40" s="56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</row>
    <row r="41" ht="15.0" customHeight="1">
      <c r="A41" s="51" t="str">
        <f t="shared" si="3"/>
        <v/>
      </c>
      <c r="B41" s="45"/>
      <c r="C41" s="39" t="str">
        <f t="shared" si="1"/>
        <v/>
      </c>
      <c r="D41" s="39" t="str">
        <f t="shared" si="2"/>
        <v/>
      </c>
      <c r="E41" s="45"/>
      <c r="F41" s="45"/>
      <c r="G41" s="45"/>
      <c r="H41" s="52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</row>
    <row r="42" ht="15.0" customHeight="1">
      <c r="A42" s="54" t="str">
        <f t="shared" si="3"/>
        <v/>
      </c>
      <c r="B42" s="48"/>
      <c r="C42" s="55" t="str">
        <f t="shared" si="1"/>
        <v/>
      </c>
      <c r="D42" s="55" t="str">
        <f t="shared" si="2"/>
        <v/>
      </c>
      <c r="E42" s="48"/>
      <c r="F42" s="48"/>
      <c r="G42" s="48"/>
      <c r="H42" s="56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</row>
    <row r="43" ht="15.0" customHeight="1">
      <c r="A43" s="51" t="str">
        <f t="shared" si="3"/>
        <v/>
      </c>
      <c r="B43" s="45"/>
      <c r="C43" s="39" t="str">
        <f t="shared" si="1"/>
        <v/>
      </c>
      <c r="D43" s="39" t="str">
        <f t="shared" si="2"/>
        <v/>
      </c>
      <c r="E43" s="45"/>
      <c r="F43" s="45"/>
      <c r="G43" s="45"/>
      <c r="H43" s="52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</row>
    <row r="44" ht="15.0" customHeight="1">
      <c r="A44" s="54" t="str">
        <f t="shared" si="3"/>
        <v/>
      </c>
      <c r="B44" s="48"/>
      <c r="C44" s="55" t="str">
        <f t="shared" si="1"/>
        <v/>
      </c>
      <c r="D44" s="55" t="str">
        <f t="shared" si="2"/>
        <v/>
      </c>
      <c r="E44" s="48"/>
      <c r="F44" s="48"/>
      <c r="G44" s="48"/>
      <c r="H44" s="56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</row>
    <row r="45" ht="15.0" customHeight="1">
      <c r="A45" s="51" t="str">
        <f t="shared" si="3"/>
        <v/>
      </c>
      <c r="B45" s="45"/>
      <c r="C45" s="39" t="str">
        <f t="shared" si="1"/>
        <v/>
      </c>
      <c r="D45" s="39" t="str">
        <f t="shared" si="2"/>
        <v/>
      </c>
      <c r="E45" s="45"/>
      <c r="F45" s="45"/>
      <c r="G45" s="45"/>
      <c r="H45" s="52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</row>
    <row r="46" ht="15.0" customHeight="1">
      <c r="A46" s="54" t="str">
        <f t="shared" si="3"/>
        <v/>
      </c>
      <c r="B46" s="48"/>
      <c r="C46" s="55" t="str">
        <f t="shared" si="1"/>
        <v/>
      </c>
      <c r="D46" s="55" t="str">
        <f t="shared" si="2"/>
        <v/>
      </c>
      <c r="E46" s="48"/>
      <c r="F46" s="48"/>
      <c r="G46" s="48"/>
      <c r="H46" s="56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</row>
    <row r="47" ht="15.0" customHeight="1">
      <c r="A47" s="51" t="str">
        <f t="shared" si="3"/>
        <v/>
      </c>
      <c r="B47" s="45"/>
      <c r="C47" s="39" t="str">
        <f t="shared" si="1"/>
        <v/>
      </c>
      <c r="D47" s="39" t="str">
        <f t="shared" si="2"/>
        <v/>
      </c>
      <c r="E47" s="45"/>
      <c r="F47" s="45"/>
      <c r="G47" s="45"/>
      <c r="H47" s="52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</row>
    <row r="48" ht="15.0" customHeight="1">
      <c r="A48" s="54" t="str">
        <f t="shared" si="3"/>
        <v/>
      </c>
      <c r="B48" s="48"/>
      <c r="C48" s="55" t="str">
        <f t="shared" si="1"/>
        <v/>
      </c>
      <c r="D48" s="55" t="str">
        <f t="shared" si="2"/>
        <v/>
      </c>
      <c r="E48" s="48"/>
      <c r="F48" s="48"/>
      <c r="G48" s="48"/>
      <c r="H48" s="56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</row>
    <row r="49" ht="15.0" customHeight="1">
      <c r="A49" s="51" t="str">
        <f t="shared" si="3"/>
        <v/>
      </c>
      <c r="B49" s="45"/>
      <c r="C49" s="39" t="str">
        <f t="shared" si="1"/>
        <v/>
      </c>
      <c r="D49" s="39" t="str">
        <f t="shared" si="2"/>
        <v/>
      </c>
      <c r="E49" s="45"/>
      <c r="F49" s="45"/>
      <c r="G49" s="45"/>
      <c r="H49" s="52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</row>
    <row r="50" ht="15.0" customHeight="1">
      <c r="A50" s="54" t="str">
        <f t="shared" si="3"/>
        <v/>
      </c>
      <c r="B50" s="48"/>
      <c r="C50" s="55" t="str">
        <f t="shared" si="1"/>
        <v/>
      </c>
      <c r="D50" s="55" t="str">
        <f t="shared" si="2"/>
        <v/>
      </c>
      <c r="E50" s="48"/>
      <c r="F50" s="48"/>
      <c r="G50" s="48"/>
      <c r="H50" s="56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</row>
    <row r="51" ht="15.0" customHeight="1">
      <c r="A51" s="51" t="str">
        <f t="shared" si="3"/>
        <v/>
      </c>
      <c r="B51" s="45"/>
      <c r="C51" s="39" t="str">
        <f t="shared" si="1"/>
        <v/>
      </c>
      <c r="D51" s="39" t="str">
        <f t="shared" si="2"/>
        <v/>
      </c>
      <c r="E51" s="45"/>
      <c r="F51" s="45"/>
      <c r="G51" s="45"/>
      <c r="H51" s="52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</row>
    <row r="52" ht="15.0" customHeight="1">
      <c r="A52" s="54" t="str">
        <f t="shared" si="3"/>
        <v/>
      </c>
      <c r="B52" s="48"/>
      <c r="C52" s="55" t="str">
        <f t="shared" si="1"/>
        <v/>
      </c>
      <c r="D52" s="55" t="str">
        <f t="shared" si="2"/>
        <v/>
      </c>
      <c r="E52" s="48"/>
      <c r="F52" s="48"/>
      <c r="G52" s="48"/>
      <c r="H52" s="56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</row>
    <row r="53" ht="15.0" customHeight="1">
      <c r="A53" s="51" t="str">
        <f t="shared" si="3"/>
        <v/>
      </c>
      <c r="B53" s="45"/>
      <c r="C53" s="39" t="str">
        <f t="shared" si="1"/>
        <v/>
      </c>
      <c r="D53" s="39" t="str">
        <f t="shared" si="2"/>
        <v/>
      </c>
      <c r="E53" s="45"/>
      <c r="F53" s="45"/>
      <c r="G53" s="45"/>
      <c r="H53" s="52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</row>
    <row r="54" ht="15.0" customHeight="1">
      <c r="A54" s="54" t="str">
        <f t="shared" si="3"/>
        <v/>
      </c>
      <c r="B54" s="48"/>
      <c r="C54" s="55" t="str">
        <f t="shared" si="1"/>
        <v/>
      </c>
      <c r="D54" s="55" t="str">
        <f t="shared" si="2"/>
        <v/>
      </c>
      <c r="E54" s="48"/>
      <c r="F54" s="48"/>
      <c r="G54" s="48"/>
      <c r="H54" s="56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</row>
    <row r="55" ht="15.0" customHeight="1">
      <c r="A55" s="51" t="str">
        <f t="shared" si="3"/>
        <v/>
      </c>
      <c r="B55" s="45"/>
      <c r="C55" s="39" t="str">
        <f t="shared" si="1"/>
        <v/>
      </c>
      <c r="D55" s="39" t="str">
        <f t="shared" si="2"/>
        <v/>
      </c>
      <c r="E55" s="45"/>
      <c r="F55" s="45"/>
      <c r="G55" s="45"/>
      <c r="H55" s="52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</row>
    <row r="56" ht="15.0" customHeight="1">
      <c r="A56" s="54" t="str">
        <f t="shared" si="3"/>
        <v/>
      </c>
      <c r="B56" s="48"/>
      <c r="C56" s="55" t="str">
        <f t="shared" si="1"/>
        <v/>
      </c>
      <c r="D56" s="55" t="str">
        <f t="shared" si="2"/>
        <v/>
      </c>
      <c r="E56" s="48"/>
      <c r="F56" s="48"/>
      <c r="G56" s="48"/>
      <c r="H56" s="56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</row>
    <row r="57" ht="15.0" customHeight="1">
      <c r="A57" s="51" t="str">
        <f t="shared" si="3"/>
        <v/>
      </c>
      <c r="B57" s="45"/>
      <c r="C57" s="39" t="str">
        <f t="shared" si="1"/>
        <v/>
      </c>
      <c r="D57" s="39" t="str">
        <f t="shared" si="2"/>
        <v/>
      </c>
      <c r="E57" s="45"/>
      <c r="F57" s="45"/>
      <c r="G57" s="45"/>
      <c r="H57" s="52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</row>
    <row r="58" ht="15.0" customHeight="1">
      <c r="A58" s="54" t="str">
        <f t="shared" si="3"/>
        <v/>
      </c>
      <c r="B58" s="48"/>
      <c r="C58" s="55" t="str">
        <f t="shared" si="1"/>
        <v/>
      </c>
      <c r="D58" s="55" t="str">
        <f t="shared" si="2"/>
        <v/>
      </c>
      <c r="E58" s="48"/>
      <c r="F58" s="48"/>
      <c r="G58" s="48"/>
      <c r="H58" s="56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</row>
    <row r="59" ht="15.0" customHeight="1">
      <c r="A59" s="51" t="str">
        <f t="shared" si="3"/>
        <v/>
      </c>
      <c r="B59" s="45"/>
      <c r="C59" s="39" t="str">
        <f t="shared" si="1"/>
        <v/>
      </c>
      <c r="D59" s="39" t="str">
        <f t="shared" si="2"/>
        <v/>
      </c>
      <c r="E59" s="45"/>
      <c r="F59" s="45"/>
      <c r="G59" s="45"/>
      <c r="H59" s="52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</row>
    <row r="60" ht="15.0" customHeight="1">
      <c r="A60" s="54" t="str">
        <f t="shared" si="3"/>
        <v/>
      </c>
      <c r="B60" s="48"/>
      <c r="C60" s="55" t="str">
        <f t="shared" si="1"/>
        <v/>
      </c>
      <c r="D60" s="55" t="str">
        <f t="shared" si="2"/>
        <v/>
      </c>
      <c r="E60" s="48"/>
      <c r="F60" s="48"/>
      <c r="G60" s="48"/>
      <c r="H60" s="56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</row>
    <row r="61" ht="15.0" customHeight="1">
      <c r="A61" s="51" t="str">
        <f t="shared" si="3"/>
        <v/>
      </c>
      <c r="B61" s="45"/>
      <c r="C61" s="39" t="str">
        <f t="shared" si="1"/>
        <v/>
      </c>
      <c r="D61" s="39" t="str">
        <f t="shared" si="2"/>
        <v/>
      </c>
      <c r="E61" s="45"/>
      <c r="F61" s="45"/>
      <c r="G61" s="45"/>
      <c r="H61" s="52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</row>
    <row r="62" ht="15.0" customHeight="1">
      <c r="A62" s="54" t="str">
        <f t="shared" si="3"/>
        <v/>
      </c>
      <c r="B62" s="48"/>
      <c r="C62" s="55" t="str">
        <f t="shared" si="1"/>
        <v/>
      </c>
      <c r="D62" s="55" t="str">
        <f t="shared" si="2"/>
        <v/>
      </c>
      <c r="E62" s="48"/>
      <c r="F62" s="48"/>
      <c r="G62" s="48"/>
      <c r="H62" s="56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</row>
    <row r="63" ht="15.0" customHeight="1">
      <c r="A63" s="51" t="str">
        <f t="shared" si="3"/>
        <v/>
      </c>
      <c r="B63" s="45"/>
      <c r="C63" s="39" t="str">
        <f t="shared" si="1"/>
        <v/>
      </c>
      <c r="D63" s="39" t="str">
        <f t="shared" si="2"/>
        <v/>
      </c>
      <c r="E63" s="45"/>
      <c r="F63" s="45"/>
      <c r="G63" s="45"/>
      <c r="H63" s="52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</row>
    <row r="64" ht="15.0" customHeight="1">
      <c r="A64" s="54" t="str">
        <f t="shared" si="3"/>
        <v/>
      </c>
      <c r="B64" s="48"/>
      <c r="C64" s="55" t="str">
        <f t="shared" si="1"/>
        <v/>
      </c>
      <c r="D64" s="55" t="str">
        <f t="shared" si="2"/>
        <v/>
      </c>
      <c r="E64" s="48"/>
      <c r="F64" s="48"/>
      <c r="G64" s="48"/>
      <c r="H64" s="56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</row>
    <row r="65" ht="15.0" customHeight="1">
      <c r="A65" s="51" t="str">
        <f t="shared" si="3"/>
        <v/>
      </c>
      <c r="B65" s="45"/>
      <c r="C65" s="39" t="str">
        <f t="shared" si="1"/>
        <v/>
      </c>
      <c r="D65" s="39" t="str">
        <f t="shared" si="2"/>
        <v/>
      </c>
      <c r="E65" s="45"/>
      <c r="F65" s="45"/>
      <c r="G65" s="45"/>
      <c r="H65" s="52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</row>
    <row r="66" ht="15.0" customHeight="1">
      <c r="A66" s="54" t="str">
        <f t="shared" si="3"/>
        <v/>
      </c>
      <c r="B66" s="48"/>
      <c r="C66" s="55" t="str">
        <f t="shared" si="1"/>
        <v/>
      </c>
      <c r="D66" s="55" t="str">
        <f t="shared" si="2"/>
        <v/>
      </c>
      <c r="E66" s="48"/>
      <c r="F66" s="48"/>
      <c r="G66" s="48"/>
      <c r="H66" s="56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</row>
    <row r="67" ht="15.0" customHeight="1">
      <c r="A67" s="51" t="str">
        <f t="shared" si="3"/>
        <v/>
      </c>
      <c r="B67" s="45"/>
      <c r="C67" s="39" t="str">
        <f t="shared" si="1"/>
        <v/>
      </c>
      <c r="D67" s="39" t="str">
        <f t="shared" si="2"/>
        <v/>
      </c>
      <c r="E67" s="45"/>
      <c r="F67" s="45"/>
      <c r="G67" s="45"/>
      <c r="H67" s="52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</row>
    <row r="68" ht="15.0" customHeight="1">
      <c r="A68" s="54" t="str">
        <f t="shared" si="3"/>
        <v/>
      </c>
      <c r="B68" s="48"/>
      <c r="C68" s="55" t="str">
        <f t="shared" si="1"/>
        <v/>
      </c>
      <c r="D68" s="55" t="str">
        <f t="shared" si="2"/>
        <v/>
      </c>
      <c r="E68" s="48"/>
      <c r="F68" s="48"/>
      <c r="G68" s="48"/>
      <c r="H68" s="56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</row>
    <row r="69" ht="15.0" customHeight="1">
      <c r="A69" s="51" t="str">
        <f t="shared" si="3"/>
        <v/>
      </c>
      <c r="B69" s="45"/>
      <c r="C69" s="39" t="str">
        <f t="shared" si="1"/>
        <v/>
      </c>
      <c r="D69" s="39" t="str">
        <f t="shared" si="2"/>
        <v/>
      </c>
      <c r="E69" s="45"/>
      <c r="F69" s="45"/>
      <c r="G69" s="45"/>
      <c r="H69" s="52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</row>
    <row r="70" ht="15.0" customHeight="1">
      <c r="A70" s="54" t="str">
        <f t="shared" si="3"/>
        <v/>
      </c>
      <c r="B70" s="48"/>
      <c r="C70" s="55" t="str">
        <f t="shared" si="1"/>
        <v/>
      </c>
      <c r="D70" s="55" t="str">
        <f t="shared" si="2"/>
        <v/>
      </c>
      <c r="E70" s="48"/>
      <c r="F70" s="48"/>
      <c r="G70" s="48"/>
      <c r="H70" s="56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</row>
    <row r="71" ht="15.0" customHeight="1">
      <c r="A71" s="51" t="str">
        <f t="shared" si="3"/>
        <v/>
      </c>
      <c r="B71" s="45"/>
      <c r="C71" s="39" t="str">
        <f t="shared" si="1"/>
        <v/>
      </c>
      <c r="D71" s="39" t="str">
        <f t="shared" si="2"/>
        <v/>
      </c>
      <c r="E71" s="45"/>
      <c r="F71" s="45"/>
      <c r="G71" s="45"/>
      <c r="H71" s="52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</row>
    <row r="72" ht="15.0" customHeight="1">
      <c r="A72" s="54" t="str">
        <f t="shared" si="3"/>
        <v/>
      </c>
      <c r="B72" s="48"/>
      <c r="C72" s="55" t="str">
        <f t="shared" si="1"/>
        <v/>
      </c>
      <c r="D72" s="55" t="str">
        <f t="shared" si="2"/>
        <v/>
      </c>
      <c r="E72" s="48"/>
      <c r="F72" s="48"/>
      <c r="G72" s="48"/>
      <c r="H72" s="56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</row>
    <row r="73" ht="15.0" customHeight="1">
      <c r="A73" s="51" t="str">
        <f t="shared" si="3"/>
        <v/>
      </c>
      <c r="B73" s="45"/>
      <c r="C73" s="39" t="str">
        <f t="shared" si="1"/>
        <v/>
      </c>
      <c r="D73" s="39" t="str">
        <f t="shared" si="2"/>
        <v/>
      </c>
      <c r="E73" s="45"/>
      <c r="F73" s="45"/>
      <c r="G73" s="45"/>
      <c r="H73" s="52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</row>
    <row r="74" ht="15.0" customHeight="1">
      <c r="A74" s="54" t="str">
        <f t="shared" si="3"/>
        <v/>
      </c>
      <c r="B74" s="48"/>
      <c r="C74" s="55" t="str">
        <f t="shared" si="1"/>
        <v/>
      </c>
      <c r="D74" s="55" t="str">
        <f t="shared" si="2"/>
        <v/>
      </c>
      <c r="E74" s="48"/>
      <c r="F74" s="48"/>
      <c r="G74" s="48"/>
      <c r="H74" s="56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</row>
    <row r="75" ht="15.0" customHeight="1">
      <c r="A75" s="51" t="str">
        <f t="shared" si="3"/>
        <v/>
      </c>
      <c r="B75" s="45"/>
      <c r="C75" s="39" t="str">
        <f t="shared" si="1"/>
        <v/>
      </c>
      <c r="D75" s="39" t="str">
        <f t="shared" si="2"/>
        <v/>
      </c>
      <c r="E75" s="45"/>
      <c r="F75" s="45"/>
      <c r="G75" s="45"/>
      <c r="H75" s="52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</row>
    <row r="76" ht="15.0" customHeight="1">
      <c r="A76" s="54" t="str">
        <f t="shared" si="3"/>
        <v/>
      </c>
      <c r="B76" s="48"/>
      <c r="C76" s="55" t="str">
        <f t="shared" si="1"/>
        <v/>
      </c>
      <c r="D76" s="55" t="str">
        <f t="shared" si="2"/>
        <v/>
      </c>
      <c r="E76" s="48"/>
      <c r="F76" s="48"/>
      <c r="G76" s="48"/>
      <c r="H76" s="56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</row>
    <row r="77" ht="15.0" customHeight="1">
      <c r="A77" s="51" t="str">
        <f t="shared" si="3"/>
        <v/>
      </c>
      <c r="B77" s="45"/>
      <c r="C77" s="39" t="str">
        <f t="shared" si="1"/>
        <v/>
      </c>
      <c r="D77" s="39" t="str">
        <f t="shared" si="2"/>
        <v/>
      </c>
      <c r="E77" s="45"/>
      <c r="F77" s="45"/>
      <c r="G77" s="45"/>
      <c r="H77" s="52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</row>
    <row r="78" ht="15.0" customHeight="1">
      <c r="A78" s="54" t="str">
        <f t="shared" si="3"/>
        <v/>
      </c>
      <c r="B78" s="48"/>
      <c r="C78" s="55" t="str">
        <f t="shared" si="1"/>
        <v/>
      </c>
      <c r="D78" s="55" t="str">
        <f t="shared" si="2"/>
        <v/>
      </c>
      <c r="E78" s="48"/>
      <c r="F78" s="48"/>
      <c r="G78" s="48"/>
      <c r="H78" s="56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</row>
    <row r="79" ht="15.0" customHeight="1">
      <c r="A79" s="51" t="str">
        <f t="shared" si="3"/>
        <v/>
      </c>
      <c r="B79" s="45"/>
      <c r="C79" s="39" t="str">
        <f t="shared" si="1"/>
        <v/>
      </c>
      <c r="D79" s="39" t="str">
        <f t="shared" si="2"/>
        <v/>
      </c>
      <c r="E79" s="45"/>
      <c r="F79" s="45"/>
      <c r="G79" s="45"/>
      <c r="H79" s="52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</row>
    <row r="80" ht="15.0" customHeight="1">
      <c r="A80" s="54" t="str">
        <f t="shared" si="3"/>
        <v/>
      </c>
      <c r="B80" s="48"/>
      <c r="C80" s="55" t="str">
        <f t="shared" si="1"/>
        <v/>
      </c>
      <c r="D80" s="55" t="str">
        <f t="shared" si="2"/>
        <v/>
      </c>
      <c r="E80" s="48"/>
      <c r="F80" s="48"/>
      <c r="G80" s="48"/>
      <c r="H80" s="56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</row>
    <row r="81" ht="15.0" customHeight="1">
      <c r="A81" s="51" t="str">
        <f t="shared" si="3"/>
        <v/>
      </c>
      <c r="B81" s="45"/>
      <c r="C81" s="39" t="str">
        <f t="shared" si="1"/>
        <v/>
      </c>
      <c r="D81" s="39" t="str">
        <f t="shared" si="2"/>
        <v/>
      </c>
      <c r="E81" s="45"/>
      <c r="F81" s="45"/>
      <c r="G81" s="45"/>
      <c r="H81" s="52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</row>
    <row r="82" ht="15.0" customHeight="1">
      <c r="A82" s="54" t="str">
        <f t="shared" si="3"/>
        <v/>
      </c>
      <c r="B82" s="48"/>
      <c r="C82" s="55" t="str">
        <f t="shared" si="1"/>
        <v/>
      </c>
      <c r="D82" s="55" t="str">
        <f t="shared" si="2"/>
        <v/>
      </c>
      <c r="E82" s="48"/>
      <c r="F82" s="48"/>
      <c r="G82" s="48"/>
      <c r="H82" s="56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</row>
    <row r="83" ht="15.0" customHeight="1">
      <c r="A83" s="51" t="str">
        <f t="shared" si="3"/>
        <v/>
      </c>
      <c r="B83" s="45"/>
      <c r="C83" s="39" t="str">
        <f t="shared" si="1"/>
        <v/>
      </c>
      <c r="D83" s="39" t="str">
        <f t="shared" si="2"/>
        <v/>
      </c>
      <c r="E83" s="45"/>
      <c r="F83" s="45"/>
      <c r="G83" s="45"/>
      <c r="H83" s="52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</row>
    <row r="84" ht="15.0" customHeight="1">
      <c r="A84" s="54" t="str">
        <f t="shared" si="3"/>
        <v/>
      </c>
      <c r="B84" s="48"/>
      <c r="C84" s="55" t="str">
        <f t="shared" si="1"/>
        <v/>
      </c>
      <c r="D84" s="55" t="str">
        <f t="shared" si="2"/>
        <v/>
      </c>
      <c r="E84" s="48"/>
      <c r="F84" s="48"/>
      <c r="G84" s="48"/>
      <c r="H84" s="56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</row>
    <row r="85" ht="15.0" customHeight="1">
      <c r="A85" s="51" t="str">
        <f t="shared" si="3"/>
        <v/>
      </c>
      <c r="B85" s="45"/>
      <c r="C85" s="39" t="str">
        <f t="shared" si="1"/>
        <v/>
      </c>
      <c r="D85" s="39" t="str">
        <f t="shared" si="2"/>
        <v/>
      </c>
      <c r="E85" s="45"/>
      <c r="F85" s="45"/>
      <c r="G85" s="45"/>
      <c r="H85" s="52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</row>
    <row r="86" ht="15.0" customHeight="1">
      <c r="A86" s="54" t="str">
        <f t="shared" si="3"/>
        <v/>
      </c>
      <c r="B86" s="48"/>
      <c r="C86" s="55" t="str">
        <f t="shared" si="1"/>
        <v/>
      </c>
      <c r="D86" s="55" t="str">
        <f t="shared" si="2"/>
        <v/>
      </c>
      <c r="E86" s="48"/>
      <c r="F86" s="48"/>
      <c r="G86" s="48"/>
      <c r="H86" s="56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</row>
    <row r="87" ht="15.0" customHeight="1">
      <c r="A87" s="51" t="str">
        <f t="shared" si="3"/>
        <v/>
      </c>
      <c r="B87" s="45"/>
      <c r="C87" s="39" t="str">
        <f t="shared" si="1"/>
        <v/>
      </c>
      <c r="D87" s="39" t="str">
        <f t="shared" si="2"/>
        <v/>
      </c>
      <c r="E87" s="45"/>
      <c r="F87" s="45"/>
      <c r="G87" s="45"/>
      <c r="H87" s="52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</row>
    <row r="88" ht="15.0" customHeight="1">
      <c r="A88" s="54" t="str">
        <f t="shared" si="3"/>
        <v/>
      </c>
      <c r="B88" s="48"/>
      <c r="C88" s="55" t="str">
        <f t="shared" si="1"/>
        <v/>
      </c>
      <c r="D88" s="55" t="str">
        <f t="shared" si="2"/>
        <v/>
      </c>
      <c r="E88" s="48"/>
      <c r="F88" s="48"/>
      <c r="G88" s="48"/>
      <c r="H88" s="56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</row>
    <row r="89" ht="15.0" customHeight="1">
      <c r="A89" s="51" t="str">
        <f t="shared" si="3"/>
        <v/>
      </c>
      <c r="B89" s="45"/>
      <c r="C89" s="39" t="str">
        <f t="shared" si="1"/>
        <v/>
      </c>
      <c r="D89" s="39" t="str">
        <f t="shared" si="2"/>
        <v/>
      </c>
      <c r="E89" s="45"/>
      <c r="F89" s="45"/>
      <c r="G89" s="45"/>
      <c r="H89" s="52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</row>
    <row r="90" ht="15.0" customHeight="1">
      <c r="A90" s="54" t="str">
        <f t="shared" si="3"/>
        <v/>
      </c>
      <c r="B90" s="48"/>
      <c r="C90" s="55" t="str">
        <f t="shared" si="1"/>
        <v/>
      </c>
      <c r="D90" s="55" t="str">
        <f t="shared" si="2"/>
        <v/>
      </c>
      <c r="E90" s="48"/>
      <c r="F90" s="48"/>
      <c r="G90" s="48"/>
      <c r="H90" s="56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</row>
    <row r="91" ht="15.0" customHeight="1">
      <c r="A91" s="51" t="str">
        <f t="shared" si="3"/>
        <v/>
      </c>
      <c r="B91" s="45"/>
      <c r="C91" s="39" t="str">
        <f t="shared" si="1"/>
        <v/>
      </c>
      <c r="D91" s="39" t="str">
        <f t="shared" si="2"/>
        <v/>
      </c>
      <c r="E91" s="45"/>
      <c r="F91" s="45"/>
      <c r="G91" s="45"/>
      <c r="H91" s="52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</row>
    <row r="92" ht="15.0" customHeight="1">
      <c r="A92" s="54" t="str">
        <f t="shared" si="3"/>
        <v/>
      </c>
      <c r="B92" s="48"/>
      <c r="C92" s="55" t="str">
        <f t="shared" si="1"/>
        <v/>
      </c>
      <c r="D92" s="55" t="str">
        <f t="shared" si="2"/>
        <v/>
      </c>
      <c r="E92" s="48"/>
      <c r="F92" s="48"/>
      <c r="G92" s="48"/>
      <c r="H92" s="56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</row>
    <row r="93" ht="15.0" customHeight="1">
      <c r="A93" s="51" t="str">
        <f t="shared" si="3"/>
        <v/>
      </c>
      <c r="B93" s="45"/>
      <c r="C93" s="39" t="str">
        <f t="shared" si="1"/>
        <v/>
      </c>
      <c r="D93" s="39" t="str">
        <f t="shared" si="2"/>
        <v/>
      </c>
      <c r="E93" s="45"/>
      <c r="F93" s="45"/>
      <c r="G93" s="45"/>
      <c r="H93" s="52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</row>
    <row r="94" ht="15.0" customHeight="1">
      <c r="A94" s="54" t="str">
        <f t="shared" si="3"/>
        <v/>
      </c>
      <c r="B94" s="48"/>
      <c r="C94" s="55" t="str">
        <f t="shared" si="1"/>
        <v/>
      </c>
      <c r="D94" s="55" t="str">
        <f t="shared" si="2"/>
        <v/>
      </c>
      <c r="E94" s="48"/>
      <c r="F94" s="48"/>
      <c r="G94" s="48"/>
      <c r="H94" s="56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</row>
    <row r="95" ht="15.0" customHeight="1">
      <c r="A95" s="51" t="str">
        <f t="shared" si="3"/>
        <v/>
      </c>
      <c r="B95" s="45"/>
      <c r="C95" s="39" t="str">
        <f t="shared" si="1"/>
        <v/>
      </c>
      <c r="D95" s="39" t="str">
        <f t="shared" si="2"/>
        <v/>
      </c>
      <c r="E95" s="45"/>
      <c r="F95" s="45"/>
      <c r="G95" s="45"/>
      <c r="H95" s="52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</row>
    <row r="96" ht="15.0" customHeight="1">
      <c r="A96" s="54" t="str">
        <f t="shared" si="3"/>
        <v/>
      </c>
      <c r="B96" s="48"/>
      <c r="C96" s="55" t="str">
        <f t="shared" si="1"/>
        <v/>
      </c>
      <c r="D96" s="55" t="str">
        <f t="shared" si="2"/>
        <v/>
      </c>
      <c r="E96" s="48"/>
      <c r="F96" s="48"/>
      <c r="G96" s="48"/>
      <c r="H96" s="56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</row>
    <row r="97" ht="15.0" customHeight="1">
      <c r="A97" s="51" t="str">
        <f t="shared" si="3"/>
        <v/>
      </c>
      <c r="B97" s="45"/>
      <c r="C97" s="39" t="str">
        <f t="shared" si="1"/>
        <v/>
      </c>
      <c r="D97" s="39" t="str">
        <f t="shared" si="2"/>
        <v/>
      </c>
      <c r="E97" s="45"/>
      <c r="F97" s="45"/>
      <c r="G97" s="45"/>
      <c r="H97" s="52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</row>
    <row r="98" ht="15.0" customHeight="1">
      <c r="A98" s="54" t="str">
        <f t="shared" si="3"/>
        <v/>
      </c>
      <c r="B98" s="48"/>
      <c r="C98" s="55" t="str">
        <f t="shared" si="1"/>
        <v/>
      </c>
      <c r="D98" s="55" t="str">
        <f t="shared" si="2"/>
        <v/>
      </c>
      <c r="E98" s="48"/>
      <c r="F98" s="48"/>
      <c r="G98" s="48"/>
      <c r="H98" s="56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</row>
    <row r="99" ht="15.0" customHeight="1">
      <c r="A99" s="51" t="str">
        <f t="shared" si="3"/>
        <v/>
      </c>
      <c r="B99" s="45"/>
      <c r="C99" s="39" t="str">
        <f t="shared" si="1"/>
        <v/>
      </c>
      <c r="D99" s="39" t="str">
        <f t="shared" si="2"/>
        <v/>
      </c>
      <c r="E99" s="45"/>
      <c r="F99" s="45"/>
      <c r="G99" s="45"/>
      <c r="H99" s="52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</row>
    <row r="100" ht="15.0" customHeight="1">
      <c r="A100" s="54" t="str">
        <f t="shared" si="3"/>
        <v/>
      </c>
      <c r="B100" s="48"/>
      <c r="C100" s="55" t="str">
        <f t="shared" si="1"/>
        <v/>
      </c>
      <c r="D100" s="55" t="str">
        <f t="shared" si="2"/>
        <v/>
      </c>
      <c r="E100" s="48"/>
      <c r="F100" s="48"/>
      <c r="G100" s="48"/>
      <c r="H100" s="56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</row>
    <row r="101" ht="15.0" customHeight="1">
      <c r="A101" s="51" t="str">
        <f t="shared" si="3"/>
        <v/>
      </c>
      <c r="B101" s="45"/>
      <c r="C101" s="39" t="str">
        <f t="shared" si="1"/>
        <v/>
      </c>
      <c r="D101" s="39" t="str">
        <f t="shared" si="2"/>
        <v/>
      </c>
      <c r="E101" s="45"/>
      <c r="F101" s="45"/>
      <c r="G101" s="45"/>
      <c r="H101" s="52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</row>
    <row r="102" ht="15.0" customHeight="1">
      <c r="A102" s="54" t="str">
        <f t="shared" si="3"/>
        <v/>
      </c>
      <c r="B102" s="48"/>
      <c r="C102" s="55" t="str">
        <f t="shared" si="1"/>
        <v/>
      </c>
      <c r="D102" s="55" t="str">
        <f t="shared" si="2"/>
        <v/>
      </c>
      <c r="E102" s="48"/>
      <c r="F102" s="48"/>
      <c r="G102" s="48"/>
      <c r="H102" s="56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</row>
    <row r="103" ht="15.0" customHeight="1">
      <c r="A103" s="51" t="str">
        <f t="shared" si="3"/>
        <v/>
      </c>
      <c r="B103" s="45"/>
      <c r="C103" s="39" t="str">
        <f t="shared" si="1"/>
        <v/>
      </c>
      <c r="D103" s="39" t="str">
        <f t="shared" si="2"/>
        <v/>
      </c>
      <c r="E103" s="45"/>
      <c r="F103" s="45"/>
      <c r="G103" s="45"/>
      <c r="H103" s="52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</row>
    <row r="104" ht="15.0" customHeight="1">
      <c r="A104" s="54" t="str">
        <f t="shared" si="3"/>
        <v/>
      </c>
      <c r="B104" s="48"/>
      <c r="C104" s="55" t="str">
        <f t="shared" si="1"/>
        <v/>
      </c>
      <c r="D104" s="55" t="str">
        <f t="shared" si="2"/>
        <v/>
      </c>
      <c r="E104" s="48"/>
      <c r="F104" s="48"/>
      <c r="G104" s="48"/>
      <c r="H104" s="56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  <c r="BV104" s="57"/>
      <c r="BW104" s="57"/>
      <c r="BX104" s="57"/>
      <c r="BY104" s="57"/>
      <c r="BZ104" s="57"/>
      <c r="CA104" s="57"/>
      <c r="CB104" s="57"/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</row>
    <row r="105" ht="15.0" customHeight="1">
      <c r="A105" s="51" t="str">
        <f t="shared" si="3"/>
        <v/>
      </c>
      <c r="B105" s="45"/>
      <c r="C105" s="39" t="str">
        <f t="shared" si="1"/>
        <v/>
      </c>
      <c r="D105" s="39" t="str">
        <f t="shared" si="2"/>
        <v/>
      </c>
      <c r="E105" s="45"/>
      <c r="F105" s="45"/>
      <c r="G105" s="45"/>
      <c r="H105" s="52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</row>
    <row r="106" ht="15.0" customHeight="1">
      <c r="A106" s="54" t="str">
        <f t="shared" si="3"/>
        <v/>
      </c>
      <c r="B106" s="48"/>
      <c r="C106" s="55" t="str">
        <f t="shared" si="1"/>
        <v/>
      </c>
      <c r="D106" s="55" t="str">
        <f t="shared" si="2"/>
        <v/>
      </c>
      <c r="E106" s="48"/>
      <c r="F106" s="48"/>
      <c r="G106" s="48"/>
      <c r="H106" s="56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</row>
    <row r="107" ht="15.0" customHeight="1">
      <c r="A107" s="51" t="str">
        <f t="shared" si="3"/>
        <v/>
      </c>
      <c r="B107" s="45"/>
      <c r="C107" s="39" t="str">
        <f t="shared" si="1"/>
        <v/>
      </c>
      <c r="D107" s="39" t="str">
        <f t="shared" si="2"/>
        <v/>
      </c>
      <c r="E107" s="45"/>
      <c r="F107" s="45"/>
      <c r="G107" s="45"/>
      <c r="H107" s="52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</row>
    <row r="108" ht="15.0" customHeight="1">
      <c r="A108" s="54" t="str">
        <f t="shared" si="3"/>
        <v/>
      </c>
      <c r="B108" s="48"/>
      <c r="C108" s="55" t="str">
        <f t="shared" si="1"/>
        <v/>
      </c>
      <c r="D108" s="55" t="str">
        <f t="shared" si="2"/>
        <v/>
      </c>
      <c r="E108" s="48"/>
      <c r="F108" s="48"/>
      <c r="G108" s="48"/>
      <c r="H108" s="56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</row>
    <row r="109" ht="15.0" customHeight="1">
      <c r="A109" s="51" t="str">
        <f t="shared" si="3"/>
        <v/>
      </c>
      <c r="B109" s="45"/>
      <c r="C109" s="39" t="str">
        <f t="shared" si="1"/>
        <v/>
      </c>
      <c r="D109" s="39" t="str">
        <f t="shared" si="2"/>
        <v/>
      </c>
      <c r="E109" s="45"/>
      <c r="F109" s="45"/>
      <c r="G109" s="45"/>
      <c r="H109" s="52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</row>
    <row r="110" ht="15.0" customHeight="1">
      <c r="A110" s="54" t="str">
        <f t="shared" si="3"/>
        <v/>
      </c>
      <c r="B110" s="48"/>
      <c r="C110" s="55" t="str">
        <f t="shared" si="1"/>
        <v/>
      </c>
      <c r="D110" s="55" t="str">
        <f t="shared" si="2"/>
        <v/>
      </c>
      <c r="E110" s="48"/>
      <c r="F110" s="48"/>
      <c r="G110" s="48"/>
      <c r="H110" s="56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</row>
    <row r="111" ht="15.0" customHeight="1">
      <c r="A111" s="51" t="str">
        <f t="shared" si="3"/>
        <v/>
      </c>
      <c r="B111" s="45"/>
      <c r="C111" s="39" t="str">
        <f t="shared" si="1"/>
        <v/>
      </c>
      <c r="D111" s="39" t="str">
        <f t="shared" si="2"/>
        <v/>
      </c>
      <c r="E111" s="45"/>
      <c r="F111" s="45"/>
      <c r="G111" s="45"/>
      <c r="H111" s="52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</row>
    <row r="112" ht="15.0" customHeight="1">
      <c r="A112" s="54" t="str">
        <f t="shared" si="3"/>
        <v/>
      </c>
      <c r="B112" s="48"/>
      <c r="C112" s="55" t="str">
        <f t="shared" si="1"/>
        <v/>
      </c>
      <c r="D112" s="55" t="str">
        <f t="shared" si="2"/>
        <v/>
      </c>
      <c r="E112" s="48"/>
      <c r="F112" s="48"/>
      <c r="G112" s="48"/>
      <c r="H112" s="56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  <c r="BV112" s="57"/>
      <c r="BW112" s="57"/>
      <c r="BX112" s="57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</row>
    <row r="113" ht="15.0" customHeight="1">
      <c r="A113" s="51" t="str">
        <f t="shared" si="3"/>
        <v/>
      </c>
      <c r="B113" s="45"/>
      <c r="C113" s="39" t="str">
        <f t="shared" si="1"/>
        <v/>
      </c>
      <c r="D113" s="39" t="str">
        <f t="shared" si="2"/>
        <v/>
      </c>
      <c r="E113" s="45"/>
      <c r="F113" s="45"/>
      <c r="G113" s="45"/>
      <c r="H113" s="52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</row>
    <row r="114" ht="15.0" customHeight="1">
      <c r="A114" s="54" t="str">
        <f t="shared" si="3"/>
        <v/>
      </c>
      <c r="B114" s="48"/>
      <c r="C114" s="55" t="str">
        <f t="shared" si="1"/>
        <v/>
      </c>
      <c r="D114" s="55" t="str">
        <f t="shared" si="2"/>
        <v/>
      </c>
      <c r="E114" s="48"/>
      <c r="F114" s="48"/>
      <c r="G114" s="48"/>
      <c r="H114" s="56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</row>
    <row r="115" ht="15.0" customHeight="1">
      <c r="A115" s="51" t="str">
        <f t="shared" si="3"/>
        <v/>
      </c>
      <c r="B115" s="45"/>
      <c r="C115" s="39" t="str">
        <f t="shared" si="1"/>
        <v/>
      </c>
      <c r="D115" s="39" t="str">
        <f t="shared" si="2"/>
        <v/>
      </c>
      <c r="E115" s="45"/>
      <c r="F115" s="45"/>
      <c r="G115" s="45"/>
      <c r="H115" s="52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</row>
    <row r="116" ht="15.0" customHeight="1">
      <c r="A116" s="54" t="str">
        <f t="shared" si="3"/>
        <v/>
      </c>
      <c r="B116" s="48"/>
      <c r="C116" s="55" t="str">
        <f t="shared" si="1"/>
        <v/>
      </c>
      <c r="D116" s="55" t="str">
        <f t="shared" si="2"/>
        <v/>
      </c>
      <c r="E116" s="48"/>
      <c r="F116" s="48"/>
      <c r="G116" s="48"/>
      <c r="H116" s="56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</row>
    <row r="117" ht="15.0" customHeight="1">
      <c r="A117" s="51" t="str">
        <f t="shared" si="3"/>
        <v/>
      </c>
      <c r="B117" s="45"/>
      <c r="C117" s="39" t="str">
        <f t="shared" si="1"/>
        <v/>
      </c>
      <c r="D117" s="39" t="str">
        <f t="shared" si="2"/>
        <v/>
      </c>
      <c r="E117" s="45"/>
      <c r="F117" s="45"/>
      <c r="G117" s="45"/>
      <c r="H117" s="52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</row>
    <row r="118" ht="15.0" customHeight="1">
      <c r="A118" s="54" t="str">
        <f t="shared" si="3"/>
        <v/>
      </c>
      <c r="B118" s="48"/>
      <c r="C118" s="55" t="str">
        <f t="shared" si="1"/>
        <v/>
      </c>
      <c r="D118" s="55" t="str">
        <f t="shared" si="2"/>
        <v/>
      </c>
      <c r="E118" s="48"/>
      <c r="F118" s="48"/>
      <c r="G118" s="48"/>
      <c r="H118" s="56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/>
      <c r="CO118" s="57"/>
      <c r="CP118" s="57"/>
      <c r="CQ118" s="57"/>
      <c r="CR118" s="57"/>
      <c r="CS118" s="57"/>
      <c r="CT118" s="57"/>
    </row>
    <row r="119" ht="15.0" customHeight="1">
      <c r="A119" s="51" t="str">
        <f t="shared" si="3"/>
        <v/>
      </c>
      <c r="B119" s="45"/>
      <c r="C119" s="39" t="str">
        <f t="shared" si="1"/>
        <v/>
      </c>
      <c r="D119" s="39" t="str">
        <f t="shared" si="2"/>
        <v/>
      </c>
      <c r="E119" s="45"/>
      <c r="F119" s="45"/>
      <c r="G119" s="45"/>
      <c r="H119" s="52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</row>
    <row r="120" ht="15.0" customHeight="1">
      <c r="A120" s="54" t="str">
        <f t="shared" si="3"/>
        <v/>
      </c>
      <c r="B120" s="48"/>
      <c r="C120" s="55" t="str">
        <f t="shared" si="1"/>
        <v/>
      </c>
      <c r="D120" s="55" t="str">
        <f t="shared" si="2"/>
        <v/>
      </c>
      <c r="E120" s="48"/>
      <c r="F120" s="48"/>
      <c r="G120" s="48"/>
      <c r="H120" s="56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</row>
    <row r="121" ht="15.0" customHeight="1">
      <c r="A121" s="51" t="str">
        <f t="shared" si="3"/>
        <v/>
      </c>
      <c r="B121" s="45"/>
      <c r="C121" s="39" t="str">
        <f t="shared" si="1"/>
        <v/>
      </c>
      <c r="D121" s="39" t="str">
        <f t="shared" si="2"/>
        <v/>
      </c>
      <c r="E121" s="45"/>
      <c r="F121" s="45"/>
      <c r="G121" s="45"/>
      <c r="H121" s="52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  <c r="CD121" s="53"/>
      <c r="CE121" s="53"/>
      <c r="CF121" s="53"/>
      <c r="CG121" s="53"/>
      <c r="CH121" s="53"/>
      <c r="CI121" s="53"/>
      <c r="CJ121" s="53"/>
      <c r="CK121" s="53"/>
      <c r="CL121" s="53"/>
      <c r="CM121" s="53"/>
      <c r="CN121" s="53"/>
      <c r="CO121" s="53"/>
      <c r="CP121" s="53"/>
      <c r="CQ121" s="53"/>
      <c r="CR121" s="53"/>
      <c r="CS121" s="53"/>
      <c r="CT121" s="53"/>
    </row>
    <row r="122" ht="15.0" customHeight="1">
      <c r="A122" s="54" t="str">
        <f t="shared" si="3"/>
        <v/>
      </c>
      <c r="B122" s="48"/>
      <c r="C122" s="55" t="str">
        <f t="shared" si="1"/>
        <v/>
      </c>
      <c r="D122" s="55" t="str">
        <f t="shared" si="2"/>
        <v/>
      </c>
      <c r="E122" s="48"/>
      <c r="F122" s="48"/>
      <c r="G122" s="48"/>
      <c r="H122" s="56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  <c r="BV122" s="57"/>
      <c r="BW122" s="57"/>
      <c r="BX122" s="57"/>
      <c r="BY122" s="57"/>
      <c r="BZ122" s="57"/>
      <c r="CA122" s="57"/>
      <c r="CB122" s="57"/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7"/>
      <c r="CO122" s="57"/>
      <c r="CP122" s="57"/>
      <c r="CQ122" s="57"/>
      <c r="CR122" s="57"/>
      <c r="CS122" s="57"/>
      <c r="CT122" s="57"/>
    </row>
    <row r="123" ht="15.0" customHeight="1">
      <c r="A123" s="51" t="str">
        <f t="shared" si="3"/>
        <v/>
      </c>
      <c r="B123" s="45"/>
      <c r="C123" s="39" t="str">
        <f t="shared" si="1"/>
        <v/>
      </c>
      <c r="D123" s="39" t="str">
        <f t="shared" si="2"/>
        <v/>
      </c>
      <c r="E123" s="45"/>
      <c r="F123" s="45"/>
      <c r="G123" s="45"/>
      <c r="H123" s="52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  <c r="CD123" s="53"/>
      <c r="CE123" s="53"/>
      <c r="CF123" s="53"/>
      <c r="CG123" s="53"/>
      <c r="CH123" s="53"/>
      <c r="CI123" s="53"/>
      <c r="CJ123" s="53"/>
      <c r="CK123" s="53"/>
      <c r="CL123" s="53"/>
      <c r="CM123" s="53"/>
      <c r="CN123" s="53"/>
      <c r="CO123" s="53"/>
      <c r="CP123" s="53"/>
      <c r="CQ123" s="53"/>
      <c r="CR123" s="53"/>
      <c r="CS123" s="53"/>
      <c r="CT123" s="53"/>
    </row>
    <row r="124" ht="15.0" customHeight="1">
      <c r="A124" s="54" t="str">
        <f t="shared" si="3"/>
        <v/>
      </c>
      <c r="B124" s="48"/>
      <c r="C124" s="55" t="str">
        <f t="shared" si="1"/>
        <v/>
      </c>
      <c r="D124" s="55" t="str">
        <f t="shared" si="2"/>
        <v/>
      </c>
      <c r="E124" s="48"/>
      <c r="F124" s="48"/>
      <c r="G124" s="48"/>
      <c r="H124" s="56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  <c r="BV124" s="57"/>
      <c r="BW124" s="57"/>
      <c r="BX124" s="57"/>
      <c r="BY124" s="57"/>
      <c r="BZ124" s="57"/>
      <c r="CA124" s="57"/>
      <c r="CB124" s="57"/>
      <c r="CC124" s="57"/>
      <c r="CD124" s="57"/>
      <c r="CE124" s="57"/>
      <c r="CF124" s="57"/>
      <c r="CG124" s="57"/>
      <c r="CH124" s="57"/>
      <c r="CI124" s="57"/>
      <c r="CJ124" s="57"/>
      <c r="CK124" s="57"/>
      <c r="CL124" s="57"/>
      <c r="CM124" s="57"/>
      <c r="CN124" s="57"/>
      <c r="CO124" s="57"/>
      <c r="CP124" s="57"/>
      <c r="CQ124" s="57"/>
      <c r="CR124" s="57"/>
      <c r="CS124" s="57"/>
      <c r="CT124" s="57"/>
    </row>
    <row r="125" ht="15.0" customHeight="1">
      <c r="A125" s="51" t="str">
        <f t="shared" si="3"/>
        <v/>
      </c>
      <c r="B125" s="45"/>
      <c r="C125" s="39" t="str">
        <f t="shared" si="1"/>
        <v/>
      </c>
      <c r="D125" s="39" t="str">
        <f t="shared" si="2"/>
        <v/>
      </c>
      <c r="E125" s="45"/>
      <c r="F125" s="45"/>
      <c r="G125" s="45"/>
      <c r="H125" s="52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  <c r="CD125" s="53"/>
      <c r="CE125" s="53"/>
      <c r="CF125" s="53"/>
      <c r="CG125" s="53"/>
      <c r="CH125" s="53"/>
      <c r="CI125" s="53"/>
      <c r="CJ125" s="53"/>
      <c r="CK125" s="53"/>
      <c r="CL125" s="53"/>
      <c r="CM125" s="53"/>
      <c r="CN125" s="53"/>
      <c r="CO125" s="53"/>
      <c r="CP125" s="53"/>
      <c r="CQ125" s="53"/>
      <c r="CR125" s="53"/>
      <c r="CS125" s="53"/>
      <c r="CT125" s="53"/>
    </row>
    <row r="126" ht="15.0" customHeight="1">
      <c r="A126" s="54" t="str">
        <f t="shared" si="3"/>
        <v/>
      </c>
      <c r="B126" s="48"/>
      <c r="C126" s="55" t="str">
        <f t="shared" si="1"/>
        <v/>
      </c>
      <c r="D126" s="55" t="str">
        <f t="shared" si="2"/>
        <v/>
      </c>
      <c r="E126" s="48"/>
      <c r="F126" s="48"/>
      <c r="G126" s="48"/>
      <c r="H126" s="56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  <c r="BV126" s="57"/>
      <c r="BW126" s="57"/>
      <c r="BX126" s="57"/>
      <c r="BY126" s="57"/>
      <c r="BZ126" s="57"/>
      <c r="CA126" s="57"/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7"/>
      <c r="CO126" s="57"/>
      <c r="CP126" s="57"/>
      <c r="CQ126" s="57"/>
      <c r="CR126" s="57"/>
      <c r="CS126" s="57"/>
      <c r="CT126" s="57"/>
    </row>
    <row r="127" ht="15.0" customHeight="1">
      <c r="A127" s="51" t="str">
        <f t="shared" si="3"/>
        <v/>
      </c>
      <c r="B127" s="45"/>
      <c r="C127" s="39" t="str">
        <f t="shared" si="1"/>
        <v/>
      </c>
      <c r="D127" s="39" t="str">
        <f t="shared" si="2"/>
        <v/>
      </c>
      <c r="E127" s="45"/>
      <c r="F127" s="45"/>
      <c r="G127" s="45"/>
      <c r="H127" s="52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  <c r="CD127" s="53"/>
      <c r="CE127" s="53"/>
      <c r="CF127" s="53"/>
      <c r="CG127" s="53"/>
      <c r="CH127" s="53"/>
      <c r="CI127" s="53"/>
      <c r="CJ127" s="53"/>
      <c r="CK127" s="53"/>
      <c r="CL127" s="53"/>
      <c r="CM127" s="53"/>
      <c r="CN127" s="53"/>
      <c r="CO127" s="53"/>
      <c r="CP127" s="53"/>
      <c r="CQ127" s="53"/>
      <c r="CR127" s="53"/>
      <c r="CS127" s="53"/>
      <c r="CT127" s="53"/>
    </row>
    <row r="128" ht="15.0" customHeight="1">
      <c r="A128" s="54" t="str">
        <f t="shared" si="3"/>
        <v/>
      </c>
      <c r="B128" s="48"/>
      <c r="C128" s="55" t="str">
        <f t="shared" si="1"/>
        <v/>
      </c>
      <c r="D128" s="55" t="str">
        <f t="shared" si="2"/>
        <v/>
      </c>
      <c r="E128" s="48"/>
      <c r="F128" s="48"/>
      <c r="G128" s="48"/>
      <c r="H128" s="56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  <c r="BU128" s="57"/>
      <c r="BV128" s="57"/>
      <c r="BW128" s="57"/>
      <c r="BX128" s="57"/>
      <c r="BY128" s="57"/>
      <c r="BZ128" s="57"/>
      <c r="CA128" s="57"/>
      <c r="CB128" s="57"/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/>
      <c r="CS128" s="57"/>
      <c r="CT128" s="57"/>
    </row>
    <row r="129" ht="15.0" customHeight="1">
      <c r="A129" s="51" t="str">
        <f t="shared" si="3"/>
        <v/>
      </c>
      <c r="B129" s="45"/>
      <c r="C129" s="39" t="str">
        <f t="shared" si="1"/>
        <v/>
      </c>
      <c r="D129" s="39" t="str">
        <f t="shared" si="2"/>
        <v/>
      </c>
      <c r="E129" s="45"/>
      <c r="F129" s="45"/>
      <c r="G129" s="45"/>
      <c r="H129" s="52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  <c r="BV129" s="53"/>
      <c r="BW129" s="53"/>
      <c r="BX129" s="53"/>
      <c r="BY129" s="53"/>
      <c r="BZ129" s="53"/>
      <c r="CA129" s="53"/>
      <c r="CB129" s="53"/>
      <c r="CC129" s="53"/>
      <c r="CD129" s="53"/>
      <c r="CE129" s="53"/>
      <c r="CF129" s="53"/>
      <c r="CG129" s="53"/>
      <c r="CH129" s="53"/>
      <c r="CI129" s="53"/>
      <c r="CJ129" s="53"/>
      <c r="CK129" s="53"/>
      <c r="CL129" s="53"/>
      <c r="CM129" s="53"/>
      <c r="CN129" s="53"/>
      <c r="CO129" s="53"/>
      <c r="CP129" s="53"/>
      <c r="CQ129" s="53"/>
      <c r="CR129" s="53"/>
      <c r="CS129" s="53"/>
      <c r="CT129" s="53"/>
    </row>
    <row r="130" ht="15.0" customHeight="1">
      <c r="A130" s="54" t="str">
        <f t="shared" si="3"/>
        <v/>
      </c>
      <c r="B130" s="48"/>
      <c r="C130" s="55" t="str">
        <f t="shared" si="1"/>
        <v/>
      </c>
      <c r="D130" s="55" t="str">
        <f t="shared" si="2"/>
        <v/>
      </c>
      <c r="E130" s="48"/>
      <c r="F130" s="48"/>
      <c r="G130" s="48"/>
      <c r="H130" s="56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</row>
    <row r="131" ht="15.0" customHeight="1">
      <c r="A131" s="51" t="str">
        <f t="shared" si="3"/>
        <v/>
      </c>
      <c r="B131" s="45"/>
      <c r="C131" s="39" t="str">
        <f t="shared" si="1"/>
        <v/>
      </c>
      <c r="D131" s="39" t="str">
        <f t="shared" si="2"/>
        <v/>
      </c>
      <c r="E131" s="45"/>
      <c r="F131" s="45"/>
      <c r="G131" s="45"/>
      <c r="H131" s="52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53"/>
      <c r="CJ131" s="53"/>
      <c r="CK131" s="53"/>
      <c r="CL131" s="53"/>
      <c r="CM131" s="53"/>
      <c r="CN131" s="53"/>
      <c r="CO131" s="53"/>
      <c r="CP131" s="53"/>
      <c r="CQ131" s="53"/>
      <c r="CR131" s="53"/>
      <c r="CS131" s="53"/>
      <c r="CT131" s="53"/>
    </row>
    <row r="132" ht="15.0" customHeight="1">
      <c r="A132" s="54" t="str">
        <f t="shared" si="3"/>
        <v/>
      </c>
      <c r="B132" s="48"/>
      <c r="C132" s="55" t="str">
        <f t="shared" si="1"/>
        <v/>
      </c>
      <c r="D132" s="55" t="str">
        <f t="shared" si="2"/>
        <v/>
      </c>
      <c r="E132" s="48"/>
      <c r="F132" s="48"/>
      <c r="G132" s="48"/>
      <c r="H132" s="56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</row>
    <row r="133" ht="15.0" customHeight="1">
      <c r="A133" s="51" t="str">
        <f t="shared" si="3"/>
        <v/>
      </c>
      <c r="B133" s="45"/>
      <c r="C133" s="39" t="str">
        <f t="shared" si="1"/>
        <v/>
      </c>
      <c r="D133" s="39" t="str">
        <f t="shared" si="2"/>
        <v/>
      </c>
      <c r="E133" s="45"/>
      <c r="F133" s="45"/>
      <c r="G133" s="45"/>
      <c r="H133" s="52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  <c r="CD133" s="53"/>
      <c r="CE133" s="53"/>
      <c r="CF133" s="53"/>
      <c r="CG133" s="53"/>
      <c r="CH133" s="53"/>
      <c r="CI133" s="53"/>
      <c r="CJ133" s="53"/>
      <c r="CK133" s="53"/>
      <c r="CL133" s="53"/>
      <c r="CM133" s="53"/>
      <c r="CN133" s="53"/>
      <c r="CO133" s="53"/>
      <c r="CP133" s="53"/>
      <c r="CQ133" s="53"/>
      <c r="CR133" s="53"/>
      <c r="CS133" s="53"/>
      <c r="CT133" s="53"/>
    </row>
    <row r="134" ht="15.0" customHeight="1">
      <c r="A134" s="54" t="str">
        <f t="shared" si="3"/>
        <v/>
      </c>
      <c r="B134" s="48"/>
      <c r="C134" s="55" t="str">
        <f t="shared" si="1"/>
        <v/>
      </c>
      <c r="D134" s="55" t="str">
        <f t="shared" si="2"/>
        <v/>
      </c>
      <c r="E134" s="48"/>
      <c r="F134" s="48"/>
      <c r="G134" s="48"/>
      <c r="H134" s="56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</row>
    <row r="135" ht="15.0" customHeight="1">
      <c r="A135" s="51" t="str">
        <f t="shared" si="3"/>
        <v/>
      </c>
      <c r="B135" s="45"/>
      <c r="C135" s="39" t="str">
        <f t="shared" si="1"/>
        <v/>
      </c>
      <c r="D135" s="39" t="str">
        <f t="shared" si="2"/>
        <v/>
      </c>
      <c r="E135" s="45"/>
      <c r="F135" s="45"/>
      <c r="G135" s="45"/>
      <c r="H135" s="52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  <c r="CD135" s="53"/>
      <c r="CE135" s="53"/>
      <c r="CF135" s="53"/>
      <c r="CG135" s="53"/>
      <c r="CH135" s="53"/>
      <c r="CI135" s="53"/>
      <c r="CJ135" s="53"/>
      <c r="CK135" s="53"/>
      <c r="CL135" s="53"/>
      <c r="CM135" s="53"/>
      <c r="CN135" s="53"/>
      <c r="CO135" s="53"/>
      <c r="CP135" s="53"/>
      <c r="CQ135" s="53"/>
      <c r="CR135" s="53"/>
      <c r="CS135" s="53"/>
      <c r="CT135" s="53"/>
    </row>
    <row r="136" ht="15.0" customHeight="1">
      <c r="A136" s="54" t="str">
        <f t="shared" si="3"/>
        <v/>
      </c>
      <c r="B136" s="48"/>
      <c r="C136" s="55" t="str">
        <f t="shared" si="1"/>
        <v/>
      </c>
      <c r="D136" s="55" t="str">
        <f t="shared" si="2"/>
        <v/>
      </c>
      <c r="E136" s="48"/>
      <c r="F136" s="48"/>
      <c r="G136" s="48"/>
      <c r="H136" s="56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</row>
    <row r="137" ht="15.0" customHeight="1">
      <c r="A137" s="51" t="str">
        <f t="shared" si="3"/>
        <v/>
      </c>
      <c r="B137" s="45"/>
      <c r="C137" s="39" t="str">
        <f t="shared" si="1"/>
        <v/>
      </c>
      <c r="D137" s="39" t="str">
        <f t="shared" si="2"/>
        <v/>
      </c>
      <c r="E137" s="45"/>
      <c r="F137" s="45"/>
      <c r="G137" s="45"/>
      <c r="H137" s="52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  <c r="CG137" s="53"/>
      <c r="CH137" s="53"/>
      <c r="CI137" s="53"/>
      <c r="CJ137" s="53"/>
      <c r="CK137" s="53"/>
      <c r="CL137" s="53"/>
      <c r="CM137" s="53"/>
      <c r="CN137" s="53"/>
      <c r="CO137" s="53"/>
      <c r="CP137" s="53"/>
      <c r="CQ137" s="53"/>
      <c r="CR137" s="53"/>
      <c r="CS137" s="53"/>
      <c r="CT137" s="53"/>
    </row>
    <row r="138" ht="15.0" customHeight="1">
      <c r="A138" s="54" t="str">
        <f t="shared" si="3"/>
        <v/>
      </c>
      <c r="B138" s="48"/>
      <c r="C138" s="55" t="str">
        <f t="shared" si="1"/>
        <v/>
      </c>
      <c r="D138" s="55" t="str">
        <f t="shared" si="2"/>
        <v/>
      </c>
      <c r="E138" s="48"/>
      <c r="F138" s="48"/>
      <c r="G138" s="48"/>
      <c r="H138" s="56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</row>
    <row r="139" ht="15.0" customHeight="1">
      <c r="A139" s="51" t="str">
        <f t="shared" si="3"/>
        <v/>
      </c>
      <c r="B139" s="45"/>
      <c r="C139" s="39" t="str">
        <f t="shared" si="1"/>
        <v/>
      </c>
      <c r="D139" s="39" t="str">
        <f t="shared" si="2"/>
        <v/>
      </c>
      <c r="E139" s="45"/>
      <c r="F139" s="45"/>
      <c r="G139" s="45"/>
      <c r="H139" s="52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  <c r="CD139" s="53"/>
      <c r="CE139" s="53"/>
      <c r="CF139" s="53"/>
      <c r="CG139" s="53"/>
      <c r="CH139" s="53"/>
      <c r="CI139" s="53"/>
      <c r="CJ139" s="53"/>
      <c r="CK139" s="53"/>
      <c r="CL139" s="53"/>
      <c r="CM139" s="53"/>
      <c r="CN139" s="53"/>
      <c r="CO139" s="53"/>
      <c r="CP139" s="53"/>
      <c r="CQ139" s="53"/>
      <c r="CR139" s="53"/>
      <c r="CS139" s="53"/>
      <c r="CT139" s="53"/>
    </row>
    <row r="140" ht="15.0" customHeight="1">
      <c r="A140" s="54" t="str">
        <f t="shared" si="3"/>
        <v/>
      </c>
      <c r="B140" s="48"/>
      <c r="C140" s="55" t="str">
        <f t="shared" si="1"/>
        <v/>
      </c>
      <c r="D140" s="55" t="str">
        <f t="shared" si="2"/>
        <v/>
      </c>
      <c r="E140" s="48"/>
      <c r="F140" s="48"/>
      <c r="G140" s="48"/>
      <c r="H140" s="56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</row>
    <row r="141" ht="15.0" customHeight="1">
      <c r="A141" s="51" t="str">
        <f t="shared" si="3"/>
        <v/>
      </c>
      <c r="B141" s="45"/>
      <c r="C141" s="39" t="str">
        <f t="shared" si="1"/>
        <v/>
      </c>
      <c r="D141" s="39" t="str">
        <f t="shared" si="2"/>
        <v/>
      </c>
      <c r="E141" s="45"/>
      <c r="F141" s="45"/>
      <c r="G141" s="45"/>
      <c r="H141" s="52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  <c r="CD141" s="53"/>
      <c r="CE141" s="53"/>
      <c r="CF141" s="53"/>
      <c r="CG141" s="53"/>
      <c r="CH141" s="53"/>
      <c r="CI141" s="53"/>
      <c r="CJ141" s="53"/>
      <c r="CK141" s="53"/>
      <c r="CL141" s="53"/>
      <c r="CM141" s="53"/>
      <c r="CN141" s="53"/>
      <c r="CO141" s="53"/>
      <c r="CP141" s="53"/>
      <c r="CQ141" s="53"/>
      <c r="CR141" s="53"/>
      <c r="CS141" s="53"/>
      <c r="CT141" s="53"/>
    </row>
    <row r="142" ht="15.0" customHeight="1">
      <c r="A142" s="54" t="str">
        <f t="shared" si="3"/>
        <v/>
      </c>
      <c r="B142" s="48"/>
      <c r="C142" s="55" t="str">
        <f t="shared" si="1"/>
        <v/>
      </c>
      <c r="D142" s="55" t="str">
        <f t="shared" si="2"/>
        <v/>
      </c>
      <c r="E142" s="48"/>
      <c r="F142" s="48"/>
      <c r="G142" s="48"/>
      <c r="H142" s="56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</row>
    <row r="143" ht="15.0" customHeight="1">
      <c r="A143" s="51" t="str">
        <f t="shared" si="3"/>
        <v/>
      </c>
      <c r="B143" s="45"/>
      <c r="C143" s="39" t="str">
        <f t="shared" si="1"/>
        <v/>
      </c>
      <c r="D143" s="39" t="str">
        <f t="shared" si="2"/>
        <v/>
      </c>
      <c r="E143" s="45"/>
      <c r="F143" s="45"/>
      <c r="G143" s="45"/>
      <c r="H143" s="52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  <c r="CD143" s="53"/>
      <c r="CE143" s="53"/>
      <c r="CF143" s="53"/>
      <c r="CG143" s="53"/>
      <c r="CH143" s="53"/>
      <c r="CI143" s="53"/>
      <c r="CJ143" s="53"/>
      <c r="CK143" s="53"/>
      <c r="CL143" s="53"/>
      <c r="CM143" s="53"/>
      <c r="CN143" s="53"/>
      <c r="CO143" s="53"/>
      <c r="CP143" s="53"/>
      <c r="CQ143" s="53"/>
      <c r="CR143" s="53"/>
      <c r="CS143" s="53"/>
      <c r="CT143" s="53"/>
    </row>
    <row r="144" ht="15.0" customHeight="1">
      <c r="A144" s="54" t="str">
        <f t="shared" si="3"/>
        <v/>
      </c>
      <c r="B144" s="48"/>
      <c r="C144" s="55" t="str">
        <f t="shared" si="1"/>
        <v/>
      </c>
      <c r="D144" s="55" t="str">
        <f t="shared" si="2"/>
        <v/>
      </c>
      <c r="E144" s="48"/>
      <c r="F144" s="48"/>
      <c r="G144" s="48"/>
      <c r="H144" s="56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7"/>
      <c r="CO144" s="57"/>
      <c r="CP144" s="57"/>
      <c r="CQ144" s="57"/>
      <c r="CR144" s="57"/>
      <c r="CS144" s="57"/>
      <c r="CT144" s="57"/>
    </row>
    <row r="145" ht="15.0" customHeight="1">
      <c r="A145" s="51" t="str">
        <f t="shared" si="3"/>
        <v/>
      </c>
      <c r="B145" s="45"/>
      <c r="C145" s="39" t="str">
        <f t="shared" si="1"/>
        <v/>
      </c>
      <c r="D145" s="39" t="str">
        <f t="shared" si="2"/>
        <v/>
      </c>
      <c r="E145" s="45"/>
      <c r="F145" s="45"/>
      <c r="G145" s="45"/>
      <c r="H145" s="52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  <c r="BW145" s="53"/>
      <c r="BX145" s="53"/>
      <c r="BY145" s="53"/>
      <c r="BZ145" s="53"/>
      <c r="CA145" s="53"/>
      <c r="CB145" s="53"/>
      <c r="CC145" s="53"/>
      <c r="CD145" s="53"/>
      <c r="CE145" s="53"/>
      <c r="CF145" s="53"/>
      <c r="CG145" s="53"/>
      <c r="CH145" s="53"/>
      <c r="CI145" s="53"/>
      <c r="CJ145" s="53"/>
      <c r="CK145" s="53"/>
      <c r="CL145" s="53"/>
      <c r="CM145" s="53"/>
      <c r="CN145" s="53"/>
      <c r="CO145" s="53"/>
      <c r="CP145" s="53"/>
      <c r="CQ145" s="53"/>
      <c r="CR145" s="53"/>
      <c r="CS145" s="53"/>
      <c r="CT145" s="53"/>
    </row>
    <row r="146" ht="15.0" customHeight="1">
      <c r="A146" s="54" t="str">
        <f t="shared" si="3"/>
        <v/>
      </c>
      <c r="B146" s="48"/>
      <c r="C146" s="55" t="str">
        <f t="shared" si="1"/>
        <v/>
      </c>
      <c r="D146" s="55" t="str">
        <f t="shared" si="2"/>
        <v/>
      </c>
      <c r="E146" s="48"/>
      <c r="F146" s="48"/>
      <c r="G146" s="48"/>
      <c r="H146" s="56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7"/>
      <c r="CO146" s="57"/>
      <c r="CP146" s="57"/>
      <c r="CQ146" s="57"/>
      <c r="CR146" s="57"/>
      <c r="CS146" s="57"/>
      <c r="CT146" s="57"/>
    </row>
    <row r="147" ht="15.0" customHeight="1">
      <c r="A147" s="51" t="str">
        <f t="shared" si="3"/>
        <v/>
      </c>
      <c r="B147" s="45"/>
      <c r="C147" s="39" t="str">
        <f t="shared" si="1"/>
        <v/>
      </c>
      <c r="D147" s="39" t="str">
        <f t="shared" si="2"/>
        <v/>
      </c>
      <c r="E147" s="45"/>
      <c r="F147" s="45"/>
      <c r="G147" s="45"/>
      <c r="H147" s="52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  <c r="CD147" s="53"/>
      <c r="CE147" s="53"/>
      <c r="CF147" s="53"/>
      <c r="CG147" s="53"/>
      <c r="CH147" s="53"/>
      <c r="CI147" s="53"/>
      <c r="CJ147" s="53"/>
      <c r="CK147" s="53"/>
      <c r="CL147" s="53"/>
      <c r="CM147" s="53"/>
      <c r="CN147" s="53"/>
      <c r="CO147" s="53"/>
      <c r="CP147" s="53"/>
      <c r="CQ147" s="53"/>
      <c r="CR147" s="53"/>
      <c r="CS147" s="53"/>
      <c r="CT147" s="53"/>
    </row>
    <row r="148" ht="15.0" customHeight="1">
      <c r="A148" s="54" t="str">
        <f t="shared" si="3"/>
        <v/>
      </c>
      <c r="B148" s="48"/>
      <c r="C148" s="55" t="str">
        <f t="shared" si="1"/>
        <v/>
      </c>
      <c r="D148" s="55" t="str">
        <f t="shared" si="2"/>
        <v/>
      </c>
      <c r="E148" s="48"/>
      <c r="F148" s="48"/>
      <c r="G148" s="48"/>
      <c r="H148" s="56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7"/>
      <c r="BZ148" s="57"/>
      <c r="CA148" s="57"/>
      <c r="CB148" s="57"/>
      <c r="CC148" s="57"/>
      <c r="CD148" s="57"/>
      <c r="CE148" s="57"/>
      <c r="CF148" s="57"/>
      <c r="CG148" s="57"/>
      <c r="CH148" s="57"/>
      <c r="CI148" s="57"/>
      <c r="CJ148" s="57"/>
      <c r="CK148" s="57"/>
      <c r="CL148" s="57"/>
      <c r="CM148" s="57"/>
      <c r="CN148" s="57"/>
      <c r="CO148" s="57"/>
      <c r="CP148" s="57"/>
      <c r="CQ148" s="57"/>
      <c r="CR148" s="57"/>
      <c r="CS148" s="57"/>
      <c r="CT148" s="57"/>
    </row>
    <row r="149" ht="15.0" customHeight="1">
      <c r="A149" s="51" t="str">
        <f t="shared" si="3"/>
        <v/>
      </c>
      <c r="B149" s="45"/>
      <c r="C149" s="39" t="str">
        <f t="shared" si="1"/>
        <v/>
      </c>
      <c r="D149" s="39" t="str">
        <f t="shared" si="2"/>
        <v/>
      </c>
      <c r="E149" s="45"/>
      <c r="F149" s="45"/>
      <c r="G149" s="45"/>
      <c r="H149" s="52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  <c r="CD149" s="53"/>
      <c r="CE149" s="53"/>
      <c r="CF149" s="53"/>
      <c r="CG149" s="53"/>
      <c r="CH149" s="53"/>
      <c r="CI149" s="53"/>
      <c r="CJ149" s="53"/>
      <c r="CK149" s="53"/>
      <c r="CL149" s="53"/>
      <c r="CM149" s="53"/>
      <c r="CN149" s="53"/>
      <c r="CO149" s="53"/>
      <c r="CP149" s="53"/>
      <c r="CQ149" s="53"/>
      <c r="CR149" s="53"/>
      <c r="CS149" s="53"/>
      <c r="CT149" s="53"/>
    </row>
    <row r="150" ht="15.0" customHeight="1">
      <c r="A150" s="54" t="str">
        <f t="shared" si="3"/>
        <v/>
      </c>
      <c r="B150" s="48"/>
      <c r="C150" s="55" t="str">
        <f t="shared" si="1"/>
        <v/>
      </c>
      <c r="D150" s="55" t="str">
        <f t="shared" si="2"/>
        <v/>
      </c>
      <c r="E150" s="48"/>
      <c r="F150" s="48"/>
      <c r="G150" s="48"/>
      <c r="H150" s="56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7"/>
      <c r="BZ150" s="57"/>
      <c r="CA150" s="57"/>
      <c r="CB150" s="57"/>
      <c r="CC150" s="57"/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7"/>
      <c r="CO150" s="57"/>
      <c r="CP150" s="57"/>
      <c r="CQ150" s="57"/>
      <c r="CR150" s="57"/>
      <c r="CS150" s="57"/>
      <c r="CT150" s="57"/>
    </row>
    <row r="151" ht="15.0" customHeight="1">
      <c r="A151" s="51" t="str">
        <f t="shared" si="3"/>
        <v/>
      </c>
      <c r="B151" s="45"/>
      <c r="C151" s="39" t="str">
        <f t="shared" si="1"/>
        <v/>
      </c>
      <c r="D151" s="39" t="str">
        <f t="shared" si="2"/>
        <v/>
      </c>
      <c r="E151" s="45"/>
      <c r="F151" s="45"/>
      <c r="G151" s="45"/>
      <c r="H151" s="52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  <c r="CD151" s="53"/>
      <c r="CE151" s="53"/>
      <c r="CF151" s="53"/>
      <c r="CG151" s="53"/>
      <c r="CH151" s="53"/>
      <c r="CI151" s="53"/>
      <c r="CJ151" s="53"/>
      <c r="CK151" s="53"/>
      <c r="CL151" s="53"/>
      <c r="CM151" s="53"/>
      <c r="CN151" s="53"/>
      <c r="CO151" s="53"/>
      <c r="CP151" s="53"/>
      <c r="CQ151" s="53"/>
      <c r="CR151" s="53"/>
      <c r="CS151" s="53"/>
      <c r="CT151" s="53"/>
    </row>
    <row r="152" ht="15.0" customHeight="1">
      <c r="A152" s="54" t="str">
        <f t="shared" si="3"/>
        <v/>
      </c>
      <c r="B152" s="48"/>
      <c r="C152" s="55" t="str">
        <f t="shared" si="1"/>
        <v/>
      </c>
      <c r="D152" s="55" t="str">
        <f t="shared" si="2"/>
        <v/>
      </c>
      <c r="E152" s="48"/>
      <c r="F152" s="48"/>
      <c r="G152" s="48"/>
      <c r="H152" s="56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</row>
    <row r="153" ht="15.0" customHeight="1">
      <c r="A153" s="51" t="str">
        <f t="shared" si="3"/>
        <v/>
      </c>
      <c r="B153" s="45"/>
      <c r="C153" s="39" t="str">
        <f t="shared" si="1"/>
        <v/>
      </c>
      <c r="D153" s="39" t="str">
        <f t="shared" si="2"/>
        <v/>
      </c>
      <c r="E153" s="45"/>
      <c r="F153" s="45"/>
      <c r="G153" s="45"/>
      <c r="H153" s="52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  <c r="CD153" s="53"/>
      <c r="CE153" s="53"/>
      <c r="CF153" s="53"/>
      <c r="CG153" s="53"/>
      <c r="CH153" s="53"/>
      <c r="CI153" s="53"/>
      <c r="CJ153" s="53"/>
      <c r="CK153" s="53"/>
      <c r="CL153" s="53"/>
      <c r="CM153" s="53"/>
      <c r="CN153" s="53"/>
      <c r="CO153" s="53"/>
      <c r="CP153" s="53"/>
      <c r="CQ153" s="53"/>
      <c r="CR153" s="53"/>
      <c r="CS153" s="53"/>
      <c r="CT153" s="53"/>
    </row>
    <row r="154" ht="15.0" customHeight="1">
      <c r="A154" s="54" t="str">
        <f t="shared" si="3"/>
        <v/>
      </c>
      <c r="B154" s="48"/>
      <c r="C154" s="55" t="str">
        <f t="shared" si="1"/>
        <v/>
      </c>
      <c r="D154" s="55" t="str">
        <f t="shared" si="2"/>
        <v/>
      </c>
      <c r="E154" s="48"/>
      <c r="F154" s="48"/>
      <c r="G154" s="48"/>
      <c r="H154" s="56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7"/>
      <c r="BZ154" s="57"/>
      <c r="CA154" s="57"/>
      <c r="CB154" s="57"/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/>
      <c r="CO154" s="57"/>
      <c r="CP154" s="57"/>
      <c r="CQ154" s="57"/>
      <c r="CR154" s="57"/>
      <c r="CS154" s="57"/>
      <c r="CT154" s="57"/>
    </row>
    <row r="155" ht="15.0" customHeight="1">
      <c r="A155" s="51" t="str">
        <f t="shared" si="3"/>
        <v/>
      </c>
      <c r="B155" s="45"/>
      <c r="C155" s="39" t="str">
        <f t="shared" si="1"/>
        <v/>
      </c>
      <c r="D155" s="39" t="str">
        <f t="shared" si="2"/>
        <v/>
      </c>
      <c r="E155" s="45"/>
      <c r="F155" s="45"/>
      <c r="G155" s="45"/>
      <c r="H155" s="52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  <c r="CD155" s="53"/>
      <c r="CE155" s="53"/>
      <c r="CF155" s="53"/>
      <c r="CG155" s="53"/>
      <c r="CH155" s="53"/>
      <c r="CI155" s="53"/>
      <c r="CJ155" s="53"/>
      <c r="CK155" s="53"/>
      <c r="CL155" s="53"/>
      <c r="CM155" s="53"/>
      <c r="CN155" s="53"/>
      <c r="CO155" s="53"/>
      <c r="CP155" s="53"/>
      <c r="CQ155" s="53"/>
      <c r="CR155" s="53"/>
      <c r="CS155" s="53"/>
      <c r="CT155" s="53"/>
    </row>
    <row r="156" ht="15.0" customHeight="1">
      <c r="A156" s="54" t="str">
        <f t="shared" si="3"/>
        <v/>
      </c>
      <c r="B156" s="48"/>
      <c r="C156" s="55" t="str">
        <f t="shared" si="1"/>
        <v/>
      </c>
      <c r="D156" s="55" t="str">
        <f t="shared" si="2"/>
        <v/>
      </c>
      <c r="E156" s="48"/>
      <c r="F156" s="48"/>
      <c r="G156" s="48"/>
      <c r="H156" s="56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7"/>
      <c r="BZ156" s="57"/>
      <c r="CA156" s="57"/>
      <c r="CB156" s="57"/>
      <c r="CC156" s="57"/>
      <c r="CD156" s="57"/>
      <c r="CE156" s="57"/>
      <c r="CF156" s="57"/>
      <c r="CG156" s="57"/>
      <c r="CH156" s="57"/>
      <c r="CI156" s="57"/>
      <c r="CJ156" s="57"/>
      <c r="CK156" s="57"/>
      <c r="CL156" s="57"/>
      <c r="CM156" s="57"/>
      <c r="CN156" s="57"/>
      <c r="CO156" s="57"/>
      <c r="CP156" s="57"/>
      <c r="CQ156" s="57"/>
      <c r="CR156" s="57"/>
      <c r="CS156" s="57"/>
      <c r="CT156" s="57"/>
    </row>
    <row r="157" ht="15.0" customHeight="1">
      <c r="A157" s="51" t="str">
        <f t="shared" si="3"/>
        <v/>
      </c>
      <c r="B157" s="45"/>
      <c r="C157" s="39" t="str">
        <f t="shared" si="1"/>
        <v/>
      </c>
      <c r="D157" s="39" t="str">
        <f t="shared" si="2"/>
        <v/>
      </c>
      <c r="E157" s="45"/>
      <c r="F157" s="45"/>
      <c r="G157" s="45"/>
      <c r="H157" s="52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  <c r="BW157" s="53"/>
      <c r="BX157" s="53"/>
      <c r="BY157" s="53"/>
      <c r="BZ157" s="53"/>
      <c r="CA157" s="53"/>
      <c r="CB157" s="53"/>
      <c r="CC157" s="53"/>
      <c r="CD157" s="53"/>
      <c r="CE157" s="53"/>
      <c r="CF157" s="53"/>
      <c r="CG157" s="53"/>
      <c r="CH157" s="53"/>
      <c r="CI157" s="53"/>
      <c r="CJ157" s="53"/>
      <c r="CK157" s="53"/>
      <c r="CL157" s="53"/>
      <c r="CM157" s="53"/>
      <c r="CN157" s="53"/>
      <c r="CO157" s="53"/>
      <c r="CP157" s="53"/>
      <c r="CQ157" s="53"/>
      <c r="CR157" s="53"/>
      <c r="CS157" s="53"/>
      <c r="CT157" s="53"/>
    </row>
    <row r="158" ht="15.0" customHeight="1">
      <c r="A158" s="54" t="str">
        <f t="shared" si="3"/>
        <v/>
      </c>
      <c r="B158" s="48"/>
      <c r="C158" s="55" t="str">
        <f t="shared" si="1"/>
        <v/>
      </c>
      <c r="D158" s="55" t="str">
        <f t="shared" si="2"/>
        <v/>
      </c>
      <c r="E158" s="48"/>
      <c r="F158" s="48"/>
      <c r="G158" s="48"/>
      <c r="H158" s="56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7"/>
      <c r="CO158" s="57"/>
      <c r="CP158" s="57"/>
      <c r="CQ158" s="57"/>
      <c r="CR158" s="57"/>
      <c r="CS158" s="57"/>
      <c r="CT158" s="57"/>
    </row>
    <row r="159" ht="15.0" customHeight="1">
      <c r="A159" s="51" t="str">
        <f t="shared" si="3"/>
        <v/>
      </c>
      <c r="B159" s="45"/>
      <c r="C159" s="39" t="str">
        <f t="shared" si="1"/>
        <v/>
      </c>
      <c r="D159" s="39" t="str">
        <f t="shared" si="2"/>
        <v/>
      </c>
      <c r="E159" s="45"/>
      <c r="F159" s="45"/>
      <c r="G159" s="45"/>
      <c r="H159" s="52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  <c r="CG159" s="53"/>
      <c r="CH159" s="53"/>
      <c r="CI159" s="53"/>
      <c r="CJ159" s="53"/>
      <c r="CK159" s="53"/>
      <c r="CL159" s="53"/>
      <c r="CM159" s="53"/>
      <c r="CN159" s="53"/>
      <c r="CO159" s="53"/>
      <c r="CP159" s="53"/>
      <c r="CQ159" s="53"/>
      <c r="CR159" s="53"/>
      <c r="CS159" s="53"/>
      <c r="CT159" s="53"/>
    </row>
    <row r="160" ht="15.0" customHeight="1">
      <c r="A160" s="54" t="str">
        <f t="shared" si="3"/>
        <v/>
      </c>
      <c r="B160" s="48"/>
      <c r="C160" s="55" t="str">
        <f t="shared" si="1"/>
        <v/>
      </c>
      <c r="D160" s="55" t="str">
        <f t="shared" si="2"/>
        <v/>
      </c>
      <c r="E160" s="48"/>
      <c r="F160" s="48"/>
      <c r="G160" s="48"/>
      <c r="H160" s="56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7"/>
      <c r="BZ160" s="57"/>
      <c r="CA160" s="57"/>
      <c r="CB160" s="57"/>
      <c r="CC160" s="57"/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</row>
    <row r="161" ht="15.0" customHeight="1">
      <c r="A161" s="51" t="str">
        <f t="shared" si="3"/>
        <v/>
      </c>
      <c r="B161" s="45"/>
      <c r="C161" s="39" t="str">
        <f t="shared" si="1"/>
        <v/>
      </c>
      <c r="D161" s="39" t="str">
        <f t="shared" si="2"/>
        <v/>
      </c>
      <c r="E161" s="45"/>
      <c r="F161" s="45"/>
      <c r="G161" s="45"/>
      <c r="H161" s="52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  <c r="CD161" s="53"/>
      <c r="CE161" s="53"/>
      <c r="CF161" s="53"/>
      <c r="CG161" s="53"/>
      <c r="CH161" s="53"/>
      <c r="CI161" s="53"/>
      <c r="CJ161" s="53"/>
      <c r="CK161" s="53"/>
      <c r="CL161" s="53"/>
      <c r="CM161" s="53"/>
      <c r="CN161" s="53"/>
      <c r="CO161" s="53"/>
      <c r="CP161" s="53"/>
      <c r="CQ161" s="53"/>
      <c r="CR161" s="53"/>
      <c r="CS161" s="53"/>
      <c r="CT161" s="53"/>
    </row>
    <row r="162" ht="15.0" customHeight="1">
      <c r="A162" s="54" t="str">
        <f t="shared" si="3"/>
        <v/>
      </c>
      <c r="B162" s="48"/>
      <c r="C162" s="55" t="str">
        <f t="shared" si="1"/>
        <v/>
      </c>
      <c r="D162" s="55" t="str">
        <f t="shared" si="2"/>
        <v/>
      </c>
      <c r="E162" s="48"/>
      <c r="F162" s="48"/>
      <c r="G162" s="48"/>
      <c r="H162" s="56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7"/>
      <c r="CO162" s="57"/>
      <c r="CP162" s="57"/>
      <c r="CQ162" s="57"/>
      <c r="CR162" s="57"/>
      <c r="CS162" s="57"/>
      <c r="CT162" s="57"/>
    </row>
    <row r="163" ht="15.0" customHeight="1">
      <c r="A163" s="51" t="str">
        <f t="shared" si="3"/>
        <v/>
      </c>
      <c r="B163" s="45"/>
      <c r="C163" s="39" t="str">
        <f t="shared" si="1"/>
        <v/>
      </c>
      <c r="D163" s="39" t="str">
        <f t="shared" si="2"/>
        <v/>
      </c>
      <c r="E163" s="45"/>
      <c r="F163" s="45"/>
      <c r="G163" s="45"/>
      <c r="H163" s="52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  <c r="CD163" s="53"/>
      <c r="CE163" s="53"/>
      <c r="CF163" s="53"/>
      <c r="CG163" s="53"/>
      <c r="CH163" s="53"/>
      <c r="CI163" s="53"/>
      <c r="CJ163" s="53"/>
      <c r="CK163" s="53"/>
      <c r="CL163" s="53"/>
      <c r="CM163" s="53"/>
      <c r="CN163" s="53"/>
      <c r="CO163" s="53"/>
      <c r="CP163" s="53"/>
      <c r="CQ163" s="53"/>
      <c r="CR163" s="53"/>
      <c r="CS163" s="53"/>
      <c r="CT163" s="53"/>
    </row>
    <row r="164" ht="15.0" customHeight="1">
      <c r="A164" s="54" t="str">
        <f t="shared" si="3"/>
        <v/>
      </c>
      <c r="B164" s="48"/>
      <c r="C164" s="55" t="str">
        <f t="shared" si="1"/>
        <v/>
      </c>
      <c r="D164" s="55" t="str">
        <f t="shared" si="2"/>
        <v/>
      </c>
      <c r="E164" s="48"/>
      <c r="F164" s="48"/>
      <c r="G164" s="48"/>
      <c r="H164" s="56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  <c r="CM164" s="57"/>
      <c r="CN164" s="57"/>
      <c r="CO164" s="57"/>
      <c r="CP164" s="57"/>
      <c r="CQ164" s="57"/>
      <c r="CR164" s="57"/>
      <c r="CS164" s="57"/>
      <c r="CT164" s="57"/>
    </row>
    <row r="165" ht="15.0" customHeight="1">
      <c r="A165" s="51" t="str">
        <f t="shared" si="3"/>
        <v/>
      </c>
      <c r="B165" s="45"/>
      <c r="C165" s="39" t="str">
        <f t="shared" si="1"/>
        <v/>
      </c>
      <c r="D165" s="39" t="str">
        <f t="shared" si="2"/>
        <v/>
      </c>
      <c r="E165" s="45"/>
      <c r="F165" s="45"/>
      <c r="G165" s="45"/>
      <c r="H165" s="52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3"/>
      <c r="CS165" s="53"/>
      <c r="CT165" s="53"/>
    </row>
    <row r="166" ht="15.0" customHeight="1">
      <c r="A166" s="54" t="str">
        <f t="shared" si="3"/>
        <v/>
      </c>
      <c r="B166" s="48"/>
      <c r="C166" s="55" t="str">
        <f t="shared" si="1"/>
        <v/>
      </c>
      <c r="D166" s="55" t="str">
        <f t="shared" si="2"/>
        <v/>
      </c>
      <c r="E166" s="48"/>
      <c r="F166" s="48"/>
      <c r="G166" s="48"/>
      <c r="H166" s="56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7"/>
      <c r="CO166" s="57"/>
      <c r="CP166" s="57"/>
      <c r="CQ166" s="57"/>
      <c r="CR166" s="57"/>
      <c r="CS166" s="57"/>
      <c r="CT166" s="57"/>
    </row>
    <row r="167" ht="15.0" customHeight="1">
      <c r="A167" s="51" t="str">
        <f t="shared" si="3"/>
        <v/>
      </c>
      <c r="B167" s="45"/>
      <c r="C167" s="39" t="str">
        <f t="shared" si="1"/>
        <v/>
      </c>
      <c r="D167" s="39" t="str">
        <f t="shared" si="2"/>
        <v/>
      </c>
      <c r="E167" s="45"/>
      <c r="F167" s="45"/>
      <c r="G167" s="45"/>
      <c r="H167" s="52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53"/>
      <c r="CE167" s="53"/>
      <c r="CF167" s="53"/>
      <c r="CG167" s="53"/>
      <c r="CH167" s="53"/>
      <c r="CI167" s="53"/>
      <c r="CJ167" s="53"/>
      <c r="CK167" s="53"/>
      <c r="CL167" s="53"/>
      <c r="CM167" s="53"/>
      <c r="CN167" s="53"/>
      <c r="CO167" s="53"/>
      <c r="CP167" s="53"/>
      <c r="CQ167" s="53"/>
      <c r="CR167" s="53"/>
      <c r="CS167" s="53"/>
      <c r="CT167" s="53"/>
    </row>
    <row r="168" ht="15.0" customHeight="1">
      <c r="A168" s="54" t="str">
        <f t="shared" si="3"/>
        <v/>
      </c>
      <c r="B168" s="48"/>
      <c r="C168" s="55" t="str">
        <f t="shared" si="1"/>
        <v/>
      </c>
      <c r="D168" s="55" t="str">
        <f t="shared" si="2"/>
        <v/>
      </c>
      <c r="E168" s="48"/>
      <c r="F168" s="48"/>
      <c r="G168" s="48"/>
      <c r="H168" s="56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</row>
    <row r="169" ht="15.0" customHeight="1">
      <c r="A169" s="51" t="str">
        <f t="shared" si="3"/>
        <v/>
      </c>
      <c r="B169" s="45"/>
      <c r="C169" s="39" t="str">
        <f t="shared" si="1"/>
        <v/>
      </c>
      <c r="D169" s="39" t="str">
        <f t="shared" si="2"/>
        <v/>
      </c>
      <c r="E169" s="45"/>
      <c r="F169" s="45"/>
      <c r="G169" s="45"/>
      <c r="H169" s="52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  <c r="BY169" s="53"/>
      <c r="BZ169" s="53"/>
      <c r="CA169" s="53"/>
      <c r="CB169" s="53"/>
      <c r="CC169" s="53"/>
      <c r="CD169" s="53"/>
      <c r="CE169" s="53"/>
      <c r="CF169" s="53"/>
      <c r="CG169" s="53"/>
      <c r="CH169" s="53"/>
      <c r="CI169" s="53"/>
      <c r="CJ169" s="53"/>
      <c r="CK169" s="53"/>
      <c r="CL169" s="53"/>
      <c r="CM169" s="53"/>
      <c r="CN169" s="53"/>
      <c r="CO169" s="53"/>
      <c r="CP169" s="53"/>
      <c r="CQ169" s="53"/>
      <c r="CR169" s="53"/>
      <c r="CS169" s="53"/>
      <c r="CT169" s="53"/>
    </row>
    <row r="170" ht="15.0" customHeight="1">
      <c r="A170" s="54" t="str">
        <f t="shared" si="3"/>
        <v/>
      </c>
      <c r="B170" s="48"/>
      <c r="C170" s="55" t="str">
        <f t="shared" si="1"/>
        <v/>
      </c>
      <c r="D170" s="55" t="str">
        <f t="shared" si="2"/>
        <v/>
      </c>
      <c r="E170" s="48"/>
      <c r="F170" s="48"/>
      <c r="G170" s="48"/>
      <c r="H170" s="56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</row>
    <row r="171" ht="15.0" customHeight="1">
      <c r="A171" s="51" t="str">
        <f t="shared" si="3"/>
        <v/>
      </c>
      <c r="B171" s="45"/>
      <c r="C171" s="39" t="str">
        <f t="shared" si="1"/>
        <v/>
      </c>
      <c r="D171" s="39" t="str">
        <f t="shared" si="2"/>
        <v/>
      </c>
      <c r="E171" s="45"/>
      <c r="F171" s="45"/>
      <c r="G171" s="45"/>
      <c r="H171" s="52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  <c r="CD171" s="53"/>
      <c r="CE171" s="53"/>
      <c r="CF171" s="53"/>
      <c r="CG171" s="53"/>
      <c r="CH171" s="53"/>
      <c r="CI171" s="53"/>
      <c r="CJ171" s="53"/>
      <c r="CK171" s="53"/>
      <c r="CL171" s="53"/>
      <c r="CM171" s="53"/>
      <c r="CN171" s="53"/>
      <c r="CO171" s="53"/>
      <c r="CP171" s="53"/>
      <c r="CQ171" s="53"/>
      <c r="CR171" s="53"/>
      <c r="CS171" s="53"/>
      <c r="CT171" s="53"/>
    </row>
    <row r="172" ht="15.0" customHeight="1">
      <c r="A172" s="54" t="str">
        <f t="shared" si="3"/>
        <v/>
      </c>
      <c r="B172" s="48"/>
      <c r="C172" s="55" t="str">
        <f t="shared" si="1"/>
        <v/>
      </c>
      <c r="D172" s="55" t="str">
        <f t="shared" si="2"/>
        <v/>
      </c>
      <c r="E172" s="48"/>
      <c r="F172" s="48"/>
      <c r="G172" s="48"/>
      <c r="H172" s="56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7"/>
      <c r="CS172" s="57"/>
      <c r="CT172" s="57"/>
    </row>
    <row r="173" ht="15.0" customHeight="1">
      <c r="A173" s="51" t="str">
        <f t="shared" si="3"/>
        <v/>
      </c>
      <c r="B173" s="45"/>
      <c r="C173" s="39" t="str">
        <f t="shared" si="1"/>
        <v/>
      </c>
      <c r="D173" s="39" t="str">
        <f t="shared" si="2"/>
        <v/>
      </c>
      <c r="E173" s="45"/>
      <c r="F173" s="45"/>
      <c r="G173" s="45"/>
      <c r="H173" s="52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  <c r="CD173" s="53"/>
      <c r="CE173" s="53"/>
      <c r="CF173" s="53"/>
      <c r="CG173" s="53"/>
      <c r="CH173" s="53"/>
      <c r="CI173" s="53"/>
      <c r="CJ173" s="53"/>
      <c r="CK173" s="53"/>
      <c r="CL173" s="53"/>
      <c r="CM173" s="53"/>
      <c r="CN173" s="53"/>
      <c r="CO173" s="53"/>
      <c r="CP173" s="53"/>
      <c r="CQ173" s="53"/>
      <c r="CR173" s="53"/>
      <c r="CS173" s="53"/>
      <c r="CT173" s="53"/>
    </row>
    <row r="174" ht="15.0" customHeight="1">
      <c r="A174" s="54" t="str">
        <f t="shared" si="3"/>
        <v/>
      </c>
      <c r="B174" s="48"/>
      <c r="C174" s="55" t="str">
        <f t="shared" si="1"/>
        <v/>
      </c>
      <c r="D174" s="55" t="str">
        <f t="shared" si="2"/>
        <v/>
      </c>
      <c r="E174" s="48"/>
      <c r="F174" s="48"/>
      <c r="G174" s="48"/>
      <c r="H174" s="56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</row>
    <row r="175" ht="15.0" customHeight="1">
      <c r="A175" s="51" t="str">
        <f t="shared" si="3"/>
        <v/>
      </c>
      <c r="B175" s="45"/>
      <c r="C175" s="39" t="str">
        <f t="shared" si="1"/>
        <v/>
      </c>
      <c r="D175" s="39" t="str">
        <f t="shared" si="2"/>
        <v/>
      </c>
      <c r="E175" s="45"/>
      <c r="F175" s="45"/>
      <c r="G175" s="45"/>
      <c r="H175" s="52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  <c r="CD175" s="53"/>
      <c r="CE175" s="53"/>
      <c r="CF175" s="53"/>
      <c r="CG175" s="53"/>
      <c r="CH175" s="53"/>
      <c r="CI175" s="53"/>
      <c r="CJ175" s="53"/>
      <c r="CK175" s="53"/>
      <c r="CL175" s="53"/>
      <c r="CM175" s="53"/>
      <c r="CN175" s="53"/>
      <c r="CO175" s="53"/>
      <c r="CP175" s="53"/>
      <c r="CQ175" s="53"/>
      <c r="CR175" s="53"/>
      <c r="CS175" s="53"/>
      <c r="CT175" s="53"/>
    </row>
    <row r="176" ht="15.0" customHeight="1">
      <c r="A176" s="54" t="str">
        <f t="shared" si="3"/>
        <v/>
      </c>
      <c r="B176" s="48"/>
      <c r="C176" s="55" t="str">
        <f t="shared" si="1"/>
        <v/>
      </c>
      <c r="D176" s="55" t="str">
        <f t="shared" si="2"/>
        <v/>
      </c>
      <c r="E176" s="48"/>
      <c r="F176" s="48"/>
      <c r="G176" s="48"/>
      <c r="H176" s="56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</row>
    <row r="177" ht="15.0" customHeight="1">
      <c r="A177" s="51" t="str">
        <f t="shared" si="3"/>
        <v/>
      </c>
      <c r="B177" s="45"/>
      <c r="C177" s="39" t="str">
        <f t="shared" si="1"/>
        <v/>
      </c>
      <c r="D177" s="39" t="str">
        <f t="shared" si="2"/>
        <v/>
      </c>
      <c r="E177" s="45"/>
      <c r="F177" s="45"/>
      <c r="G177" s="45"/>
      <c r="H177" s="52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  <c r="CD177" s="53"/>
      <c r="CE177" s="53"/>
      <c r="CF177" s="53"/>
      <c r="CG177" s="53"/>
      <c r="CH177" s="53"/>
      <c r="CI177" s="53"/>
      <c r="CJ177" s="53"/>
      <c r="CK177" s="53"/>
      <c r="CL177" s="53"/>
      <c r="CM177" s="53"/>
      <c r="CN177" s="53"/>
      <c r="CO177" s="53"/>
      <c r="CP177" s="53"/>
      <c r="CQ177" s="53"/>
      <c r="CR177" s="53"/>
      <c r="CS177" s="53"/>
      <c r="CT177" s="53"/>
    </row>
    <row r="178" ht="15.0" customHeight="1">
      <c r="A178" s="54" t="str">
        <f t="shared" si="3"/>
        <v/>
      </c>
      <c r="B178" s="48"/>
      <c r="C178" s="55" t="str">
        <f t="shared" si="1"/>
        <v/>
      </c>
      <c r="D178" s="55" t="str">
        <f t="shared" si="2"/>
        <v/>
      </c>
      <c r="E178" s="48"/>
      <c r="F178" s="48"/>
      <c r="G178" s="48"/>
      <c r="H178" s="56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</row>
    <row r="179" ht="15.0" customHeight="1">
      <c r="A179" s="51" t="str">
        <f t="shared" si="3"/>
        <v/>
      </c>
      <c r="B179" s="45"/>
      <c r="C179" s="39" t="str">
        <f t="shared" si="1"/>
        <v/>
      </c>
      <c r="D179" s="39" t="str">
        <f t="shared" si="2"/>
        <v/>
      </c>
      <c r="E179" s="45"/>
      <c r="F179" s="45"/>
      <c r="G179" s="45"/>
      <c r="H179" s="52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  <c r="CD179" s="53"/>
      <c r="CE179" s="53"/>
      <c r="CF179" s="53"/>
      <c r="CG179" s="53"/>
      <c r="CH179" s="53"/>
      <c r="CI179" s="53"/>
      <c r="CJ179" s="53"/>
      <c r="CK179" s="53"/>
      <c r="CL179" s="53"/>
      <c r="CM179" s="53"/>
      <c r="CN179" s="53"/>
      <c r="CO179" s="53"/>
      <c r="CP179" s="53"/>
      <c r="CQ179" s="53"/>
      <c r="CR179" s="53"/>
      <c r="CS179" s="53"/>
      <c r="CT179" s="53"/>
    </row>
    <row r="180" ht="15.0" customHeight="1">
      <c r="A180" s="54" t="str">
        <f t="shared" si="3"/>
        <v/>
      </c>
      <c r="B180" s="48"/>
      <c r="C180" s="55" t="str">
        <f t="shared" si="1"/>
        <v/>
      </c>
      <c r="D180" s="55" t="str">
        <f t="shared" si="2"/>
        <v/>
      </c>
      <c r="E180" s="48"/>
      <c r="F180" s="48"/>
      <c r="G180" s="48"/>
      <c r="H180" s="56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</row>
    <row r="181" ht="15.0" customHeight="1">
      <c r="A181" s="51" t="str">
        <f t="shared" si="3"/>
        <v/>
      </c>
      <c r="B181" s="45"/>
      <c r="C181" s="39" t="str">
        <f t="shared" si="1"/>
        <v/>
      </c>
      <c r="D181" s="39" t="str">
        <f t="shared" si="2"/>
        <v/>
      </c>
      <c r="E181" s="45"/>
      <c r="F181" s="45"/>
      <c r="G181" s="45"/>
      <c r="H181" s="52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  <c r="CD181" s="53"/>
      <c r="CE181" s="53"/>
      <c r="CF181" s="53"/>
      <c r="CG181" s="53"/>
      <c r="CH181" s="53"/>
      <c r="CI181" s="53"/>
      <c r="CJ181" s="53"/>
      <c r="CK181" s="53"/>
      <c r="CL181" s="53"/>
      <c r="CM181" s="53"/>
      <c r="CN181" s="53"/>
      <c r="CO181" s="53"/>
      <c r="CP181" s="53"/>
      <c r="CQ181" s="53"/>
      <c r="CR181" s="53"/>
      <c r="CS181" s="53"/>
      <c r="CT181" s="53"/>
    </row>
    <row r="182" ht="15.0" customHeight="1">
      <c r="A182" s="54" t="str">
        <f t="shared" si="3"/>
        <v/>
      </c>
      <c r="B182" s="48"/>
      <c r="C182" s="55" t="str">
        <f t="shared" si="1"/>
        <v/>
      </c>
      <c r="D182" s="55" t="str">
        <f t="shared" si="2"/>
        <v/>
      </c>
      <c r="E182" s="48"/>
      <c r="F182" s="48"/>
      <c r="G182" s="48"/>
      <c r="H182" s="56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</row>
    <row r="183" ht="15.0" customHeight="1">
      <c r="A183" s="51" t="str">
        <f t="shared" si="3"/>
        <v/>
      </c>
      <c r="B183" s="45"/>
      <c r="C183" s="39" t="str">
        <f t="shared" si="1"/>
        <v/>
      </c>
      <c r="D183" s="39" t="str">
        <f t="shared" si="2"/>
        <v/>
      </c>
      <c r="E183" s="45"/>
      <c r="F183" s="45"/>
      <c r="G183" s="45"/>
      <c r="H183" s="52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  <c r="CD183" s="53"/>
      <c r="CE183" s="53"/>
      <c r="CF183" s="53"/>
      <c r="CG183" s="53"/>
      <c r="CH183" s="53"/>
      <c r="CI183" s="53"/>
      <c r="CJ183" s="53"/>
      <c r="CK183" s="53"/>
      <c r="CL183" s="53"/>
      <c r="CM183" s="53"/>
      <c r="CN183" s="53"/>
      <c r="CO183" s="53"/>
      <c r="CP183" s="53"/>
      <c r="CQ183" s="53"/>
      <c r="CR183" s="53"/>
      <c r="CS183" s="53"/>
      <c r="CT183" s="53"/>
    </row>
    <row r="184" ht="15.0" customHeight="1">
      <c r="A184" s="54" t="str">
        <f t="shared" si="3"/>
        <v/>
      </c>
      <c r="B184" s="48"/>
      <c r="C184" s="55" t="str">
        <f t="shared" si="1"/>
        <v/>
      </c>
      <c r="D184" s="55" t="str">
        <f t="shared" si="2"/>
        <v/>
      </c>
      <c r="E184" s="48"/>
      <c r="F184" s="48"/>
      <c r="G184" s="48"/>
      <c r="H184" s="56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</row>
    <row r="185" ht="15.0" customHeight="1">
      <c r="A185" s="51" t="str">
        <f t="shared" si="3"/>
        <v/>
      </c>
      <c r="B185" s="45"/>
      <c r="C185" s="39" t="str">
        <f t="shared" si="1"/>
        <v/>
      </c>
      <c r="D185" s="39" t="str">
        <f t="shared" si="2"/>
        <v/>
      </c>
      <c r="E185" s="45"/>
      <c r="F185" s="45"/>
      <c r="G185" s="45"/>
      <c r="H185" s="52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  <c r="CD185" s="53"/>
      <c r="CE185" s="53"/>
      <c r="CF185" s="53"/>
      <c r="CG185" s="53"/>
      <c r="CH185" s="53"/>
      <c r="CI185" s="53"/>
      <c r="CJ185" s="53"/>
      <c r="CK185" s="53"/>
      <c r="CL185" s="53"/>
      <c r="CM185" s="53"/>
      <c r="CN185" s="53"/>
      <c r="CO185" s="53"/>
      <c r="CP185" s="53"/>
      <c r="CQ185" s="53"/>
      <c r="CR185" s="53"/>
      <c r="CS185" s="53"/>
      <c r="CT185" s="53"/>
    </row>
    <row r="186" ht="15.0" customHeight="1">
      <c r="A186" s="54" t="str">
        <f t="shared" si="3"/>
        <v/>
      </c>
      <c r="B186" s="48"/>
      <c r="C186" s="55" t="str">
        <f t="shared" si="1"/>
        <v/>
      </c>
      <c r="D186" s="55" t="str">
        <f t="shared" si="2"/>
        <v/>
      </c>
      <c r="E186" s="48"/>
      <c r="F186" s="48"/>
      <c r="G186" s="48"/>
      <c r="H186" s="56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</row>
    <row r="187" ht="15.0" customHeight="1">
      <c r="A187" s="51" t="str">
        <f t="shared" si="3"/>
        <v/>
      </c>
      <c r="B187" s="45"/>
      <c r="C187" s="39" t="str">
        <f t="shared" si="1"/>
        <v/>
      </c>
      <c r="D187" s="39" t="str">
        <f t="shared" si="2"/>
        <v/>
      </c>
      <c r="E187" s="45"/>
      <c r="F187" s="45"/>
      <c r="G187" s="45"/>
      <c r="H187" s="52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  <c r="CD187" s="53"/>
      <c r="CE187" s="53"/>
      <c r="CF187" s="53"/>
      <c r="CG187" s="53"/>
      <c r="CH187" s="53"/>
      <c r="CI187" s="53"/>
      <c r="CJ187" s="53"/>
      <c r="CK187" s="53"/>
      <c r="CL187" s="53"/>
      <c r="CM187" s="53"/>
      <c r="CN187" s="53"/>
      <c r="CO187" s="53"/>
      <c r="CP187" s="53"/>
      <c r="CQ187" s="53"/>
      <c r="CR187" s="53"/>
      <c r="CS187" s="53"/>
      <c r="CT187" s="53"/>
    </row>
    <row r="188" ht="15.0" customHeight="1">
      <c r="A188" s="54" t="str">
        <f t="shared" si="3"/>
        <v/>
      </c>
      <c r="B188" s="48"/>
      <c r="C188" s="55" t="str">
        <f t="shared" si="1"/>
        <v/>
      </c>
      <c r="D188" s="55" t="str">
        <f t="shared" si="2"/>
        <v/>
      </c>
      <c r="E188" s="48"/>
      <c r="F188" s="48"/>
      <c r="G188" s="48"/>
      <c r="H188" s="56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</row>
    <row r="189" ht="15.0" customHeight="1">
      <c r="A189" s="51" t="str">
        <f t="shared" si="3"/>
        <v/>
      </c>
      <c r="B189" s="45"/>
      <c r="C189" s="39" t="str">
        <f t="shared" si="1"/>
        <v/>
      </c>
      <c r="D189" s="39" t="str">
        <f t="shared" si="2"/>
        <v/>
      </c>
      <c r="E189" s="45"/>
      <c r="F189" s="45"/>
      <c r="G189" s="45"/>
      <c r="H189" s="52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  <c r="CD189" s="53"/>
      <c r="CE189" s="53"/>
      <c r="CF189" s="53"/>
      <c r="CG189" s="53"/>
      <c r="CH189" s="53"/>
      <c r="CI189" s="53"/>
      <c r="CJ189" s="53"/>
      <c r="CK189" s="53"/>
      <c r="CL189" s="53"/>
      <c r="CM189" s="53"/>
      <c r="CN189" s="53"/>
      <c r="CO189" s="53"/>
      <c r="CP189" s="53"/>
      <c r="CQ189" s="53"/>
      <c r="CR189" s="53"/>
      <c r="CS189" s="53"/>
      <c r="CT189" s="53"/>
    </row>
    <row r="190" ht="15.0" customHeight="1">
      <c r="A190" s="54" t="str">
        <f t="shared" si="3"/>
        <v/>
      </c>
      <c r="B190" s="48"/>
      <c r="C190" s="55" t="str">
        <f t="shared" si="1"/>
        <v/>
      </c>
      <c r="D190" s="55" t="str">
        <f t="shared" si="2"/>
        <v/>
      </c>
      <c r="E190" s="48"/>
      <c r="F190" s="48"/>
      <c r="G190" s="48"/>
      <c r="H190" s="56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</row>
    <row r="191" ht="15.0" customHeight="1">
      <c r="A191" s="51" t="str">
        <f t="shared" si="3"/>
        <v/>
      </c>
      <c r="B191" s="45"/>
      <c r="C191" s="39" t="str">
        <f t="shared" si="1"/>
        <v/>
      </c>
      <c r="D191" s="39" t="str">
        <f t="shared" si="2"/>
        <v/>
      </c>
      <c r="E191" s="45"/>
      <c r="F191" s="45"/>
      <c r="G191" s="45"/>
      <c r="H191" s="52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  <c r="BV191" s="53"/>
      <c r="BW191" s="53"/>
      <c r="BX191" s="53"/>
      <c r="BY191" s="53"/>
      <c r="BZ191" s="53"/>
      <c r="CA191" s="53"/>
      <c r="CB191" s="53"/>
      <c r="CC191" s="53"/>
      <c r="CD191" s="53"/>
      <c r="CE191" s="53"/>
      <c r="CF191" s="53"/>
      <c r="CG191" s="53"/>
      <c r="CH191" s="53"/>
      <c r="CI191" s="53"/>
      <c r="CJ191" s="53"/>
      <c r="CK191" s="53"/>
      <c r="CL191" s="53"/>
      <c r="CM191" s="53"/>
      <c r="CN191" s="53"/>
      <c r="CO191" s="53"/>
      <c r="CP191" s="53"/>
      <c r="CQ191" s="53"/>
      <c r="CR191" s="53"/>
      <c r="CS191" s="53"/>
      <c r="CT191" s="53"/>
    </row>
    <row r="192" ht="15.0" customHeight="1">
      <c r="A192" s="54" t="str">
        <f t="shared" si="3"/>
        <v/>
      </c>
      <c r="B192" s="48"/>
      <c r="C192" s="55" t="str">
        <f t="shared" si="1"/>
        <v/>
      </c>
      <c r="D192" s="55" t="str">
        <f t="shared" si="2"/>
        <v/>
      </c>
      <c r="E192" s="48"/>
      <c r="F192" s="48"/>
      <c r="G192" s="48"/>
      <c r="H192" s="56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</row>
    <row r="193" ht="15.0" customHeight="1">
      <c r="A193" s="51" t="str">
        <f t="shared" si="3"/>
        <v/>
      </c>
      <c r="B193" s="45"/>
      <c r="C193" s="39" t="str">
        <f t="shared" si="1"/>
        <v/>
      </c>
      <c r="D193" s="39" t="str">
        <f t="shared" si="2"/>
        <v/>
      </c>
      <c r="E193" s="45"/>
      <c r="F193" s="45"/>
      <c r="G193" s="45"/>
      <c r="H193" s="52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  <c r="BV193" s="53"/>
      <c r="BW193" s="53"/>
      <c r="BX193" s="53"/>
      <c r="BY193" s="53"/>
      <c r="BZ193" s="53"/>
      <c r="CA193" s="53"/>
      <c r="CB193" s="53"/>
      <c r="CC193" s="53"/>
      <c r="CD193" s="53"/>
      <c r="CE193" s="53"/>
      <c r="CF193" s="53"/>
      <c r="CG193" s="53"/>
      <c r="CH193" s="53"/>
      <c r="CI193" s="53"/>
      <c r="CJ193" s="53"/>
      <c r="CK193" s="53"/>
      <c r="CL193" s="53"/>
      <c r="CM193" s="53"/>
      <c r="CN193" s="53"/>
      <c r="CO193" s="53"/>
      <c r="CP193" s="53"/>
      <c r="CQ193" s="53"/>
      <c r="CR193" s="53"/>
      <c r="CS193" s="53"/>
      <c r="CT193" s="53"/>
    </row>
    <row r="194" ht="15.0" customHeight="1">
      <c r="A194" s="54" t="str">
        <f t="shared" si="3"/>
        <v/>
      </c>
      <c r="B194" s="48"/>
      <c r="C194" s="55" t="str">
        <f t="shared" si="1"/>
        <v/>
      </c>
      <c r="D194" s="55" t="str">
        <f t="shared" si="2"/>
        <v/>
      </c>
      <c r="E194" s="48"/>
      <c r="F194" s="48"/>
      <c r="G194" s="48"/>
      <c r="H194" s="56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</row>
    <row r="195" ht="15.0" customHeight="1">
      <c r="A195" s="51" t="str">
        <f t="shared" si="3"/>
        <v/>
      </c>
      <c r="B195" s="45"/>
      <c r="C195" s="39" t="str">
        <f t="shared" si="1"/>
        <v/>
      </c>
      <c r="D195" s="39" t="str">
        <f t="shared" si="2"/>
        <v/>
      </c>
      <c r="E195" s="45"/>
      <c r="F195" s="45"/>
      <c r="G195" s="45"/>
      <c r="H195" s="52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  <c r="BV195" s="53"/>
      <c r="BW195" s="53"/>
      <c r="BX195" s="53"/>
      <c r="BY195" s="53"/>
      <c r="BZ195" s="53"/>
      <c r="CA195" s="53"/>
      <c r="CB195" s="53"/>
      <c r="CC195" s="53"/>
      <c r="CD195" s="53"/>
      <c r="CE195" s="53"/>
      <c r="CF195" s="53"/>
      <c r="CG195" s="53"/>
      <c r="CH195" s="53"/>
      <c r="CI195" s="53"/>
      <c r="CJ195" s="53"/>
      <c r="CK195" s="53"/>
      <c r="CL195" s="53"/>
      <c r="CM195" s="53"/>
      <c r="CN195" s="53"/>
      <c r="CO195" s="53"/>
      <c r="CP195" s="53"/>
      <c r="CQ195" s="53"/>
      <c r="CR195" s="53"/>
      <c r="CS195" s="53"/>
      <c r="CT195" s="53"/>
    </row>
    <row r="196" ht="15.0" customHeight="1">
      <c r="A196" s="54" t="str">
        <f t="shared" si="3"/>
        <v/>
      </c>
      <c r="B196" s="48"/>
      <c r="C196" s="55" t="str">
        <f t="shared" si="1"/>
        <v/>
      </c>
      <c r="D196" s="55" t="str">
        <f t="shared" si="2"/>
        <v/>
      </c>
      <c r="E196" s="48"/>
      <c r="F196" s="48"/>
      <c r="G196" s="48"/>
      <c r="H196" s="56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</row>
    <row r="197" ht="15.0" customHeight="1">
      <c r="A197" s="51" t="str">
        <f t="shared" si="3"/>
        <v/>
      </c>
      <c r="B197" s="45"/>
      <c r="C197" s="39" t="str">
        <f t="shared" si="1"/>
        <v/>
      </c>
      <c r="D197" s="39" t="str">
        <f t="shared" si="2"/>
        <v/>
      </c>
      <c r="E197" s="45"/>
      <c r="F197" s="45"/>
      <c r="G197" s="45"/>
      <c r="H197" s="52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  <c r="CD197" s="53"/>
      <c r="CE197" s="53"/>
      <c r="CF197" s="53"/>
      <c r="CG197" s="53"/>
      <c r="CH197" s="53"/>
      <c r="CI197" s="53"/>
      <c r="CJ197" s="53"/>
      <c r="CK197" s="53"/>
      <c r="CL197" s="53"/>
      <c r="CM197" s="53"/>
      <c r="CN197" s="53"/>
      <c r="CO197" s="53"/>
      <c r="CP197" s="53"/>
      <c r="CQ197" s="53"/>
      <c r="CR197" s="53"/>
      <c r="CS197" s="53"/>
      <c r="CT197" s="53"/>
    </row>
    <row r="198" ht="15.0" customHeight="1">
      <c r="A198" s="54" t="str">
        <f t="shared" si="3"/>
        <v/>
      </c>
      <c r="B198" s="48"/>
      <c r="C198" s="55" t="str">
        <f t="shared" si="1"/>
        <v/>
      </c>
      <c r="D198" s="55" t="str">
        <f t="shared" si="2"/>
        <v/>
      </c>
      <c r="E198" s="48"/>
      <c r="F198" s="48"/>
      <c r="G198" s="48"/>
      <c r="H198" s="56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</row>
    <row r="199" ht="15.0" customHeight="1">
      <c r="A199" s="51" t="str">
        <f t="shared" si="3"/>
        <v/>
      </c>
      <c r="B199" s="45"/>
      <c r="C199" s="39" t="str">
        <f t="shared" si="1"/>
        <v/>
      </c>
      <c r="D199" s="39" t="str">
        <f t="shared" si="2"/>
        <v/>
      </c>
      <c r="E199" s="45"/>
      <c r="F199" s="45"/>
      <c r="G199" s="45"/>
      <c r="H199" s="52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  <c r="BV199" s="53"/>
      <c r="BW199" s="53"/>
      <c r="BX199" s="53"/>
      <c r="BY199" s="53"/>
      <c r="BZ199" s="53"/>
      <c r="CA199" s="53"/>
      <c r="CB199" s="53"/>
      <c r="CC199" s="53"/>
      <c r="CD199" s="53"/>
      <c r="CE199" s="53"/>
      <c r="CF199" s="53"/>
      <c r="CG199" s="53"/>
      <c r="CH199" s="53"/>
      <c r="CI199" s="53"/>
      <c r="CJ199" s="53"/>
      <c r="CK199" s="53"/>
      <c r="CL199" s="53"/>
      <c r="CM199" s="53"/>
      <c r="CN199" s="53"/>
      <c r="CO199" s="53"/>
      <c r="CP199" s="53"/>
      <c r="CQ199" s="53"/>
      <c r="CR199" s="53"/>
      <c r="CS199" s="53"/>
      <c r="CT199" s="53"/>
    </row>
    <row r="200" ht="15.0" customHeight="1">
      <c r="A200" s="54" t="str">
        <f t="shared" si="3"/>
        <v/>
      </c>
      <c r="B200" s="48"/>
      <c r="C200" s="55" t="str">
        <f t="shared" si="1"/>
        <v/>
      </c>
      <c r="D200" s="55" t="str">
        <f t="shared" si="2"/>
        <v/>
      </c>
      <c r="E200" s="48"/>
      <c r="F200" s="48"/>
      <c r="G200" s="48"/>
      <c r="H200" s="56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</row>
    <row r="201" ht="15.0" customHeight="1">
      <c r="A201" s="51" t="str">
        <f t="shared" si="3"/>
        <v/>
      </c>
      <c r="B201" s="45"/>
      <c r="C201" s="39" t="str">
        <f t="shared" si="1"/>
        <v/>
      </c>
      <c r="D201" s="39" t="str">
        <f t="shared" si="2"/>
        <v/>
      </c>
      <c r="E201" s="45"/>
      <c r="F201" s="45"/>
      <c r="G201" s="45"/>
      <c r="H201" s="52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  <c r="BV201" s="53"/>
      <c r="BW201" s="53"/>
      <c r="BX201" s="53"/>
      <c r="BY201" s="53"/>
      <c r="BZ201" s="53"/>
      <c r="CA201" s="53"/>
      <c r="CB201" s="53"/>
      <c r="CC201" s="53"/>
      <c r="CD201" s="53"/>
      <c r="CE201" s="53"/>
      <c r="CF201" s="53"/>
      <c r="CG201" s="53"/>
      <c r="CH201" s="53"/>
      <c r="CI201" s="53"/>
      <c r="CJ201" s="53"/>
      <c r="CK201" s="53"/>
      <c r="CL201" s="53"/>
      <c r="CM201" s="53"/>
      <c r="CN201" s="53"/>
      <c r="CO201" s="53"/>
      <c r="CP201" s="53"/>
      <c r="CQ201" s="53"/>
      <c r="CR201" s="53"/>
      <c r="CS201" s="53"/>
      <c r="CT201" s="53"/>
    </row>
    <row r="202" ht="15.0" customHeight="1">
      <c r="A202" s="54" t="str">
        <f t="shared" si="3"/>
        <v/>
      </c>
      <c r="B202" s="48"/>
      <c r="C202" s="55" t="str">
        <f t="shared" si="1"/>
        <v/>
      </c>
      <c r="D202" s="55" t="str">
        <f t="shared" si="2"/>
        <v/>
      </c>
      <c r="E202" s="48"/>
      <c r="F202" s="48"/>
      <c r="G202" s="48"/>
      <c r="H202" s="56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</row>
    <row r="203" ht="15.0" customHeight="1">
      <c r="A203" s="51" t="str">
        <f t="shared" si="3"/>
        <v/>
      </c>
      <c r="B203" s="45"/>
      <c r="C203" s="39" t="str">
        <f t="shared" si="1"/>
        <v/>
      </c>
      <c r="D203" s="39" t="str">
        <f t="shared" si="2"/>
        <v/>
      </c>
      <c r="E203" s="45"/>
      <c r="F203" s="45"/>
      <c r="G203" s="45"/>
      <c r="H203" s="52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  <c r="CG203" s="53"/>
      <c r="CH203" s="53"/>
      <c r="CI203" s="53"/>
      <c r="CJ203" s="53"/>
      <c r="CK203" s="53"/>
      <c r="CL203" s="53"/>
      <c r="CM203" s="53"/>
      <c r="CN203" s="53"/>
      <c r="CO203" s="53"/>
      <c r="CP203" s="53"/>
      <c r="CQ203" s="53"/>
      <c r="CR203" s="53"/>
      <c r="CS203" s="53"/>
      <c r="CT203" s="53"/>
    </row>
    <row r="204" ht="15.0" customHeight="1">
      <c r="A204" s="54" t="str">
        <f t="shared" si="3"/>
        <v/>
      </c>
      <c r="B204" s="48"/>
      <c r="C204" s="55" t="str">
        <f t="shared" si="1"/>
        <v/>
      </c>
      <c r="D204" s="55" t="str">
        <f t="shared" si="2"/>
        <v/>
      </c>
      <c r="E204" s="48"/>
      <c r="F204" s="48"/>
      <c r="G204" s="48"/>
      <c r="H204" s="56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</row>
    <row r="205" ht="15.0" customHeight="1">
      <c r="A205" s="51" t="str">
        <f t="shared" si="3"/>
        <v/>
      </c>
      <c r="B205" s="45"/>
      <c r="C205" s="39" t="str">
        <f t="shared" si="1"/>
        <v/>
      </c>
      <c r="D205" s="39" t="str">
        <f t="shared" si="2"/>
        <v/>
      </c>
      <c r="E205" s="45"/>
      <c r="F205" s="45"/>
      <c r="G205" s="45"/>
      <c r="H205" s="52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  <c r="BS205" s="53"/>
      <c r="BT205" s="53"/>
      <c r="BU205" s="53"/>
      <c r="BV205" s="53"/>
      <c r="BW205" s="53"/>
      <c r="BX205" s="53"/>
      <c r="BY205" s="53"/>
      <c r="BZ205" s="53"/>
      <c r="CA205" s="53"/>
      <c r="CB205" s="53"/>
      <c r="CC205" s="53"/>
      <c r="CD205" s="53"/>
      <c r="CE205" s="53"/>
      <c r="CF205" s="53"/>
      <c r="CG205" s="53"/>
      <c r="CH205" s="53"/>
      <c r="CI205" s="53"/>
      <c r="CJ205" s="53"/>
      <c r="CK205" s="53"/>
      <c r="CL205" s="53"/>
      <c r="CM205" s="53"/>
      <c r="CN205" s="53"/>
      <c r="CO205" s="53"/>
      <c r="CP205" s="53"/>
      <c r="CQ205" s="53"/>
      <c r="CR205" s="53"/>
      <c r="CS205" s="53"/>
      <c r="CT205" s="53"/>
    </row>
    <row r="206" ht="15.0" customHeight="1">
      <c r="A206" s="54" t="str">
        <f t="shared" si="3"/>
        <v/>
      </c>
      <c r="B206" s="48"/>
      <c r="C206" s="55" t="str">
        <f t="shared" si="1"/>
        <v/>
      </c>
      <c r="D206" s="55" t="str">
        <f t="shared" si="2"/>
        <v/>
      </c>
      <c r="E206" s="48"/>
      <c r="F206" s="48"/>
      <c r="G206" s="48"/>
      <c r="H206" s="56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</row>
    <row r="207" ht="15.0" customHeight="1">
      <c r="A207" s="51" t="str">
        <f t="shared" si="3"/>
        <v/>
      </c>
      <c r="B207" s="45"/>
      <c r="C207" s="39" t="str">
        <f t="shared" si="1"/>
        <v/>
      </c>
      <c r="D207" s="39" t="str">
        <f t="shared" si="2"/>
        <v/>
      </c>
      <c r="E207" s="45"/>
      <c r="F207" s="45"/>
      <c r="G207" s="45"/>
      <c r="H207" s="52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  <c r="BS207" s="53"/>
      <c r="BT207" s="53"/>
      <c r="BU207" s="53"/>
      <c r="BV207" s="53"/>
      <c r="BW207" s="53"/>
      <c r="BX207" s="53"/>
      <c r="BY207" s="53"/>
      <c r="BZ207" s="53"/>
      <c r="CA207" s="53"/>
      <c r="CB207" s="53"/>
      <c r="CC207" s="53"/>
      <c r="CD207" s="53"/>
      <c r="CE207" s="53"/>
      <c r="CF207" s="53"/>
      <c r="CG207" s="53"/>
      <c r="CH207" s="53"/>
      <c r="CI207" s="53"/>
      <c r="CJ207" s="53"/>
      <c r="CK207" s="53"/>
      <c r="CL207" s="53"/>
      <c r="CM207" s="53"/>
      <c r="CN207" s="53"/>
      <c r="CO207" s="53"/>
      <c r="CP207" s="53"/>
      <c r="CQ207" s="53"/>
      <c r="CR207" s="53"/>
      <c r="CS207" s="53"/>
      <c r="CT207" s="53"/>
    </row>
    <row r="208" ht="15.0" customHeight="1">
      <c r="A208" s="54" t="str">
        <f t="shared" si="3"/>
        <v/>
      </c>
      <c r="B208" s="48"/>
      <c r="C208" s="55" t="str">
        <f t="shared" si="1"/>
        <v/>
      </c>
      <c r="D208" s="55" t="str">
        <f t="shared" si="2"/>
        <v/>
      </c>
      <c r="E208" s="48"/>
      <c r="F208" s="48"/>
      <c r="G208" s="48"/>
      <c r="H208" s="56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</row>
    <row r="209" ht="15.0" customHeight="1">
      <c r="A209" s="51" t="str">
        <f t="shared" si="3"/>
        <v/>
      </c>
      <c r="B209" s="45"/>
      <c r="C209" s="39" t="str">
        <f t="shared" si="1"/>
        <v/>
      </c>
      <c r="D209" s="39" t="str">
        <f t="shared" si="2"/>
        <v/>
      </c>
      <c r="E209" s="45"/>
      <c r="F209" s="45"/>
      <c r="G209" s="45"/>
      <c r="H209" s="52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  <c r="BV209" s="53"/>
      <c r="BW209" s="53"/>
      <c r="BX209" s="53"/>
      <c r="BY209" s="53"/>
      <c r="BZ209" s="53"/>
      <c r="CA209" s="53"/>
      <c r="CB209" s="53"/>
      <c r="CC209" s="53"/>
      <c r="CD209" s="53"/>
      <c r="CE209" s="53"/>
      <c r="CF209" s="53"/>
      <c r="CG209" s="53"/>
      <c r="CH209" s="53"/>
      <c r="CI209" s="53"/>
      <c r="CJ209" s="53"/>
      <c r="CK209" s="53"/>
      <c r="CL209" s="53"/>
      <c r="CM209" s="53"/>
      <c r="CN209" s="53"/>
      <c r="CO209" s="53"/>
      <c r="CP209" s="53"/>
      <c r="CQ209" s="53"/>
      <c r="CR209" s="53"/>
      <c r="CS209" s="53"/>
      <c r="CT209" s="53"/>
    </row>
    <row r="210" ht="15.0" customHeight="1">
      <c r="A210" s="54" t="str">
        <f t="shared" si="3"/>
        <v/>
      </c>
      <c r="B210" s="48"/>
      <c r="C210" s="55" t="str">
        <f t="shared" si="1"/>
        <v/>
      </c>
      <c r="D210" s="55" t="str">
        <f t="shared" si="2"/>
        <v/>
      </c>
      <c r="E210" s="48"/>
      <c r="F210" s="48"/>
      <c r="G210" s="48"/>
      <c r="H210" s="56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</row>
    <row r="211" ht="15.0" customHeight="1">
      <c r="A211" s="51" t="str">
        <f t="shared" si="3"/>
        <v/>
      </c>
      <c r="B211" s="45"/>
      <c r="C211" s="39" t="str">
        <f t="shared" si="1"/>
        <v/>
      </c>
      <c r="D211" s="39" t="str">
        <f t="shared" si="2"/>
        <v/>
      </c>
      <c r="E211" s="45"/>
      <c r="F211" s="45"/>
      <c r="G211" s="45"/>
      <c r="H211" s="52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  <c r="BS211" s="53"/>
      <c r="BT211" s="53"/>
      <c r="BU211" s="53"/>
      <c r="BV211" s="53"/>
      <c r="BW211" s="53"/>
      <c r="BX211" s="53"/>
      <c r="BY211" s="53"/>
      <c r="BZ211" s="53"/>
      <c r="CA211" s="53"/>
      <c r="CB211" s="53"/>
      <c r="CC211" s="53"/>
      <c r="CD211" s="53"/>
      <c r="CE211" s="53"/>
      <c r="CF211" s="53"/>
      <c r="CG211" s="53"/>
      <c r="CH211" s="53"/>
      <c r="CI211" s="53"/>
      <c r="CJ211" s="53"/>
      <c r="CK211" s="53"/>
      <c r="CL211" s="53"/>
      <c r="CM211" s="53"/>
      <c r="CN211" s="53"/>
      <c r="CO211" s="53"/>
      <c r="CP211" s="53"/>
      <c r="CQ211" s="53"/>
      <c r="CR211" s="53"/>
      <c r="CS211" s="53"/>
      <c r="CT211" s="53"/>
    </row>
    <row r="212" ht="15.0" customHeight="1">
      <c r="A212" s="54" t="str">
        <f t="shared" si="3"/>
        <v/>
      </c>
      <c r="B212" s="48"/>
      <c r="C212" s="55" t="str">
        <f t="shared" si="1"/>
        <v/>
      </c>
      <c r="D212" s="55" t="str">
        <f t="shared" si="2"/>
        <v/>
      </c>
      <c r="E212" s="48"/>
      <c r="F212" s="48"/>
      <c r="G212" s="48"/>
      <c r="H212" s="56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/>
      <c r="CM212" s="57"/>
      <c r="CN212" s="57"/>
      <c r="CO212" s="57"/>
      <c r="CP212" s="57"/>
      <c r="CQ212" s="57"/>
      <c r="CR212" s="57"/>
      <c r="CS212" s="57"/>
      <c r="CT212" s="57"/>
    </row>
    <row r="213" ht="15.0" customHeight="1">
      <c r="A213" s="51" t="str">
        <f t="shared" si="3"/>
        <v/>
      </c>
      <c r="B213" s="45"/>
      <c r="C213" s="39" t="str">
        <f t="shared" si="1"/>
        <v/>
      </c>
      <c r="D213" s="39" t="str">
        <f t="shared" si="2"/>
        <v/>
      </c>
      <c r="E213" s="45"/>
      <c r="F213" s="45"/>
      <c r="G213" s="45"/>
      <c r="H213" s="52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  <c r="CD213" s="53"/>
      <c r="CE213" s="53"/>
      <c r="CF213" s="53"/>
      <c r="CG213" s="53"/>
      <c r="CH213" s="53"/>
      <c r="CI213" s="53"/>
      <c r="CJ213" s="53"/>
      <c r="CK213" s="53"/>
      <c r="CL213" s="53"/>
      <c r="CM213" s="53"/>
      <c r="CN213" s="53"/>
      <c r="CO213" s="53"/>
      <c r="CP213" s="53"/>
      <c r="CQ213" s="53"/>
      <c r="CR213" s="53"/>
      <c r="CS213" s="53"/>
      <c r="CT213" s="53"/>
    </row>
    <row r="214" ht="15.0" customHeight="1">
      <c r="A214" s="54" t="str">
        <f t="shared" si="3"/>
        <v/>
      </c>
      <c r="B214" s="48"/>
      <c r="C214" s="55" t="str">
        <f t="shared" si="1"/>
        <v/>
      </c>
      <c r="D214" s="55" t="str">
        <f t="shared" si="2"/>
        <v/>
      </c>
      <c r="E214" s="48"/>
      <c r="F214" s="48"/>
      <c r="G214" s="48"/>
      <c r="H214" s="56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</row>
    <row r="215" ht="15.0" customHeight="1">
      <c r="A215" s="51" t="str">
        <f t="shared" si="3"/>
        <v/>
      </c>
      <c r="B215" s="45"/>
      <c r="C215" s="39" t="str">
        <f t="shared" si="1"/>
        <v/>
      </c>
      <c r="D215" s="39" t="str">
        <f t="shared" si="2"/>
        <v/>
      </c>
      <c r="E215" s="45"/>
      <c r="F215" s="45"/>
      <c r="G215" s="45"/>
      <c r="H215" s="52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  <c r="BS215" s="53"/>
      <c r="BT215" s="53"/>
      <c r="BU215" s="53"/>
      <c r="BV215" s="53"/>
      <c r="BW215" s="53"/>
      <c r="BX215" s="53"/>
      <c r="BY215" s="53"/>
      <c r="BZ215" s="53"/>
      <c r="CA215" s="53"/>
      <c r="CB215" s="53"/>
      <c r="CC215" s="53"/>
      <c r="CD215" s="53"/>
      <c r="CE215" s="53"/>
      <c r="CF215" s="53"/>
      <c r="CG215" s="53"/>
      <c r="CH215" s="53"/>
      <c r="CI215" s="53"/>
      <c r="CJ215" s="53"/>
      <c r="CK215" s="53"/>
      <c r="CL215" s="53"/>
      <c r="CM215" s="53"/>
      <c r="CN215" s="53"/>
      <c r="CO215" s="53"/>
      <c r="CP215" s="53"/>
      <c r="CQ215" s="53"/>
      <c r="CR215" s="53"/>
      <c r="CS215" s="53"/>
      <c r="CT215" s="53"/>
    </row>
    <row r="216" ht="15.0" customHeight="1">
      <c r="A216" s="54" t="str">
        <f t="shared" si="3"/>
        <v/>
      </c>
      <c r="B216" s="48"/>
      <c r="C216" s="55" t="str">
        <f t="shared" si="1"/>
        <v/>
      </c>
      <c r="D216" s="55" t="str">
        <f t="shared" si="2"/>
        <v/>
      </c>
      <c r="E216" s="48"/>
      <c r="F216" s="48"/>
      <c r="G216" s="48"/>
      <c r="H216" s="56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</row>
    <row r="217" ht="15.0" customHeight="1">
      <c r="A217" s="51" t="str">
        <f t="shared" si="3"/>
        <v/>
      </c>
      <c r="B217" s="45"/>
      <c r="C217" s="39" t="str">
        <f t="shared" si="1"/>
        <v/>
      </c>
      <c r="D217" s="39" t="str">
        <f t="shared" si="2"/>
        <v/>
      </c>
      <c r="E217" s="45"/>
      <c r="F217" s="45"/>
      <c r="G217" s="45"/>
      <c r="H217" s="52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  <c r="BS217" s="53"/>
      <c r="BT217" s="53"/>
      <c r="BU217" s="53"/>
      <c r="BV217" s="53"/>
      <c r="BW217" s="53"/>
      <c r="BX217" s="53"/>
      <c r="BY217" s="53"/>
      <c r="BZ217" s="53"/>
      <c r="CA217" s="53"/>
      <c r="CB217" s="53"/>
      <c r="CC217" s="53"/>
      <c r="CD217" s="53"/>
      <c r="CE217" s="53"/>
      <c r="CF217" s="53"/>
      <c r="CG217" s="53"/>
      <c r="CH217" s="53"/>
      <c r="CI217" s="53"/>
      <c r="CJ217" s="53"/>
      <c r="CK217" s="53"/>
      <c r="CL217" s="53"/>
      <c r="CM217" s="53"/>
      <c r="CN217" s="53"/>
      <c r="CO217" s="53"/>
      <c r="CP217" s="53"/>
      <c r="CQ217" s="53"/>
      <c r="CR217" s="53"/>
      <c r="CS217" s="53"/>
      <c r="CT217" s="53"/>
    </row>
    <row r="218" ht="15.0" customHeight="1">
      <c r="A218" s="54" t="str">
        <f t="shared" si="3"/>
        <v/>
      </c>
      <c r="B218" s="48"/>
      <c r="C218" s="55" t="str">
        <f t="shared" si="1"/>
        <v/>
      </c>
      <c r="D218" s="55" t="str">
        <f t="shared" si="2"/>
        <v/>
      </c>
      <c r="E218" s="48"/>
      <c r="F218" s="48"/>
      <c r="G218" s="48"/>
      <c r="H218" s="56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</row>
    <row r="219" ht="15.0" customHeight="1">
      <c r="A219" s="51" t="str">
        <f t="shared" si="3"/>
        <v/>
      </c>
      <c r="B219" s="45"/>
      <c r="C219" s="39" t="str">
        <f t="shared" si="1"/>
        <v/>
      </c>
      <c r="D219" s="39" t="str">
        <f t="shared" si="2"/>
        <v/>
      </c>
      <c r="E219" s="45"/>
      <c r="F219" s="45"/>
      <c r="G219" s="45"/>
      <c r="H219" s="52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  <c r="BS219" s="53"/>
      <c r="BT219" s="53"/>
      <c r="BU219" s="53"/>
      <c r="BV219" s="53"/>
      <c r="BW219" s="53"/>
      <c r="BX219" s="53"/>
      <c r="BY219" s="53"/>
      <c r="BZ219" s="53"/>
      <c r="CA219" s="53"/>
      <c r="CB219" s="53"/>
      <c r="CC219" s="53"/>
      <c r="CD219" s="53"/>
      <c r="CE219" s="53"/>
      <c r="CF219" s="53"/>
      <c r="CG219" s="53"/>
      <c r="CH219" s="53"/>
      <c r="CI219" s="53"/>
      <c r="CJ219" s="53"/>
      <c r="CK219" s="53"/>
      <c r="CL219" s="53"/>
      <c r="CM219" s="53"/>
      <c r="CN219" s="53"/>
      <c r="CO219" s="53"/>
      <c r="CP219" s="53"/>
      <c r="CQ219" s="53"/>
      <c r="CR219" s="53"/>
      <c r="CS219" s="53"/>
      <c r="CT219" s="53"/>
    </row>
    <row r="220" ht="15.0" customHeight="1">
      <c r="A220" s="54" t="str">
        <f t="shared" si="3"/>
        <v/>
      </c>
      <c r="B220" s="48"/>
      <c r="C220" s="55" t="str">
        <f t="shared" si="1"/>
        <v/>
      </c>
      <c r="D220" s="55" t="str">
        <f t="shared" si="2"/>
        <v/>
      </c>
      <c r="E220" s="48"/>
      <c r="F220" s="48"/>
      <c r="G220" s="48"/>
      <c r="H220" s="56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</row>
    <row r="221" ht="15.0" customHeight="1">
      <c r="A221" s="51" t="str">
        <f t="shared" si="3"/>
        <v/>
      </c>
      <c r="B221" s="45"/>
      <c r="C221" s="39" t="str">
        <f t="shared" si="1"/>
        <v/>
      </c>
      <c r="D221" s="39" t="str">
        <f t="shared" si="2"/>
        <v/>
      </c>
      <c r="E221" s="45"/>
      <c r="F221" s="45"/>
      <c r="G221" s="45"/>
      <c r="H221" s="52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  <c r="BS221" s="53"/>
      <c r="BT221" s="53"/>
      <c r="BU221" s="53"/>
      <c r="BV221" s="53"/>
      <c r="BW221" s="53"/>
      <c r="BX221" s="53"/>
      <c r="BY221" s="53"/>
      <c r="BZ221" s="53"/>
      <c r="CA221" s="53"/>
      <c r="CB221" s="53"/>
      <c r="CC221" s="53"/>
      <c r="CD221" s="53"/>
      <c r="CE221" s="53"/>
      <c r="CF221" s="53"/>
      <c r="CG221" s="53"/>
      <c r="CH221" s="53"/>
      <c r="CI221" s="53"/>
      <c r="CJ221" s="53"/>
      <c r="CK221" s="53"/>
      <c r="CL221" s="53"/>
      <c r="CM221" s="53"/>
      <c r="CN221" s="53"/>
      <c r="CO221" s="53"/>
      <c r="CP221" s="53"/>
      <c r="CQ221" s="53"/>
      <c r="CR221" s="53"/>
      <c r="CS221" s="53"/>
      <c r="CT221" s="53"/>
    </row>
    <row r="222" ht="15.0" customHeight="1">
      <c r="A222" s="54" t="str">
        <f t="shared" si="3"/>
        <v/>
      </c>
      <c r="B222" s="48"/>
      <c r="C222" s="55" t="str">
        <f t="shared" si="1"/>
        <v/>
      </c>
      <c r="D222" s="55" t="str">
        <f t="shared" si="2"/>
        <v/>
      </c>
      <c r="E222" s="48"/>
      <c r="F222" s="48"/>
      <c r="G222" s="48"/>
      <c r="H222" s="56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</row>
    <row r="223" ht="15.0" customHeight="1">
      <c r="A223" s="51" t="str">
        <f t="shared" si="3"/>
        <v/>
      </c>
      <c r="B223" s="45"/>
      <c r="C223" s="39" t="str">
        <f t="shared" si="1"/>
        <v/>
      </c>
      <c r="D223" s="39" t="str">
        <f t="shared" si="2"/>
        <v/>
      </c>
      <c r="E223" s="45"/>
      <c r="F223" s="45"/>
      <c r="G223" s="45"/>
      <c r="H223" s="52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  <c r="BS223" s="53"/>
      <c r="BT223" s="53"/>
      <c r="BU223" s="53"/>
      <c r="BV223" s="53"/>
      <c r="BW223" s="53"/>
      <c r="BX223" s="53"/>
      <c r="BY223" s="53"/>
      <c r="BZ223" s="53"/>
      <c r="CA223" s="53"/>
      <c r="CB223" s="53"/>
      <c r="CC223" s="53"/>
      <c r="CD223" s="53"/>
      <c r="CE223" s="53"/>
      <c r="CF223" s="53"/>
      <c r="CG223" s="53"/>
      <c r="CH223" s="53"/>
      <c r="CI223" s="53"/>
      <c r="CJ223" s="53"/>
      <c r="CK223" s="53"/>
      <c r="CL223" s="53"/>
      <c r="CM223" s="53"/>
      <c r="CN223" s="53"/>
      <c r="CO223" s="53"/>
      <c r="CP223" s="53"/>
      <c r="CQ223" s="53"/>
      <c r="CR223" s="53"/>
      <c r="CS223" s="53"/>
      <c r="CT223" s="53"/>
    </row>
    <row r="224" ht="15.0" customHeight="1">
      <c r="A224" s="54" t="str">
        <f t="shared" si="3"/>
        <v/>
      </c>
      <c r="B224" s="48"/>
      <c r="C224" s="55" t="str">
        <f t="shared" si="1"/>
        <v/>
      </c>
      <c r="D224" s="55" t="str">
        <f t="shared" si="2"/>
        <v/>
      </c>
      <c r="E224" s="48"/>
      <c r="F224" s="48"/>
      <c r="G224" s="48"/>
      <c r="H224" s="56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</row>
    <row r="225" ht="15.0" customHeight="1">
      <c r="A225" s="51" t="str">
        <f t="shared" si="3"/>
        <v/>
      </c>
      <c r="B225" s="45"/>
      <c r="C225" s="39" t="str">
        <f t="shared" si="1"/>
        <v/>
      </c>
      <c r="D225" s="39" t="str">
        <f t="shared" si="2"/>
        <v/>
      </c>
      <c r="E225" s="45"/>
      <c r="F225" s="45"/>
      <c r="G225" s="45"/>
      <c r="H225" s="52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  <c r="BS225" s="53"/>
      <c r="BT225" s="53"/>
      <c r="BU225" s="53"/>
      <c r="BV225" s="53"/>
      <c r="BW225" s="53"/>
      <c r="BX225" s="53"/>
      <c r="BY225" s="53"/>
      <c r="BZ225" s="53"/>
      <c r="CA225" s="53"/>
      <c r="CB225" s="53"/>
      <c r="CC225" s="53"/>
      <c r="CD225" s="53"/>
      <c r="CE225" s="53"/>
      <c r="CF225" s="53"/>
      <c r="CG225" s="53"/>
      <c r="CH225" s="53"/>
      <c r="CI225" s="53"/>
      <c r="CJ225" s="53"/>
      <c r="CK225" s="53"/>
      <c r="CL225" s="53"/>
      <c r="CM225" s="53"/>
      <c r="CN225" s="53"/>
      <c r="CO225" s="53"/>
      <c r="CP225" s="53"/>
      <c r="CQ225" s="53"/>
      <c r="CR225" s="53"/>
      <c r="CS225" s="53"/>
      <c r="CT225" s="53"/>
    </row>
    <row r="226" ht="15.0" customHeight="1">
      <c r="A226" s="54" t="str">
        <f t="shared" si="3"/>
        <v/>
      </c>
      <c r="B226" s="48"/>
      <c r="C226" s="55" t="str">
        <f t="shared" si="1"/>
        <v/>
      </c>
      <c r="D226" s="55" t="str">
        <f t="shared" si="2"/>
        <v/>
      </c>
      <c r="E226" s="48"/>
      <c r="F226" s="48"/>
      <c r="G226" s="48"/>
      <c r="H226" s="56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</row>
    <row r="227" ht="15.0" customHeight="1">
      <c r="A227" s="51" t="str">
        <f t="shared" si="3"/>
        <v/>
      </c>
      <c r="B227" s="45"/>
      <c r="C227" s="39" t="str">
        <f t="shared" si="1"/>
        <v/>
      </c>
      <c r="D227" s="39" t="str">
        <f t="shared" si="2"/>
        <v/>
      </c>
      <c r="E227" s="45"/>
      <c r="F227" s="45"/>
      <c r="G227" s="45"/>
      <c r="H227" s="52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/>
      <c r="BR227" s="53"/>
      <c r="BS227" s="53"/>
      <c r="BT227" s="53"/>
      <c r="BU227" s="53"/>
      <c r="BV227" s="53"/>
      <c r="BW227" s="53"/>
      <c r="BX227" s="53"/>
      <c r="BY227" s="53"/>
      <c r="BZ227" s="53"/>
      <c r="CA227" s="53"/>
      <c r="CB227" s="53"/>
      <c r="CC227" s="53"/>
      <c r="CD227" s="53"/>
      <c r="CE227" s="53"/>
      <c r="CF227" s="53"/>
      <c r="CG227" s="53"/>
      <c r="CH227" s="53"/>
      <c r="CI227" s="53"/>
      <c r="CJ227" s="53"/>
      <c r="CK227" s="53"/>
      <c r="CL227" s="53"/>
      <c r="CM227" s="53"/>
      <c r="CN227" s="53"/>
      <c r="CO227" s="53"/>
      <c r="CP227" s="53"/>
      <c r="CQ227" s="53"/>
      <c r="CR227" s="53"/>
      <c r="CS227" s="53"/>
      <c r="CT227" s="53"/>
    </row>
    <row r="228" ht="15.0" customHeight="1">
      <c r="A228" s="54" t="str">
        <f t="shared" si="3"/>
        <v/>
      </c>
      <c r="B228" s="48"/>
      <c r="C228" s="55" t="str">
        <f t="shared" si="1"/>
        <v/>
      </c>
      <c r="D228" s="55" t="str">
        <f t="shared" si="2"/>
        <v/>
      </c>
      <c r="E228" s="48"/>
      <c r="F228" s="48"/>
      <c r="G228" s="48"/>
      <c r="H228" s="56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</row>
    <row r="229" ht="15.0" customHeight="1">
      <c r="A229" s="51" t="str">
        <f t="shared" si="3"/>
        <v/>
      </c>
      <c r="B229" s="45"/>
      <c r="C229" s="39" t="str">
        <f t="shared" si="1"/>
        <v/>
      </c>
      <c r="D229" s="39" t="str">
        <f t="shared" si="2"/>
        <v/>
      </c>
      <c r="E229" s="45"/>
      <c r="F229" s="45"/>
      <c r="G229" s="45"/>
      <c r="H229" s="52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/>
      <c r="BR229" s="53"/>
      <c r="BS229" s="53"/>
      <c r="BT229" s="53"/>
      <c r="BU229" s="53"/>
      <c r="BV229" s="53"/>
      <c r="BW229" s="53"/>
      <c r="BX229" s="53"/>
      <c r="BY229" s="53"/>
      <c r="BZ229" s="53"/>
      <c r="CA229" s="53"/>
      <c r="CB229" s="53"/>
      <c r="CC229" s="53"/>
      <c r="CD229" s="53"/>
      <c r="CE229" s="53"/>
      <c r="CF229" s="53"/>
      <c r="CG229" s="53"/>
      <c r="CH229" s="53"/>
      <c r="CI229" s="53"/>
      <c r="CJ229" s="53"/>
      <c r="CK229" s="53"/>
      <c r="CL229" s="53"/>
      <c r="CM229" s="53"/>
      <c r="CN229" s="53"/>
      <c r="CO229" s="53"/>
      <c r="CP229" s="53"/>
      <c r="CQ229" s="53"/>
      <c r="CR229" s="53"/>
      <c r="CS229" s="53"/>
      <c r="CT229" s="53"/>
    </row>
    <row r="230" ht="15.0" customHeight="1">
      <c r="A230" s="54" t="str">
        <f t="shared" si="3"/>
        <v/>
      </c>
      <c r="B230" s="48"/>
      <c r="C230" s="55" t="str">
        <f t="shared" si="1"/>
        <v/>
      </c>
      <c r="D230" s="55" t="str">
        <f t="shared" si="2"/>
        <v/>
      </c>
      <c r="E230" s="48"/>
      <c r="F230" s="48"/>
      <c r="G230" s="48"/>
      <c r="H230" s="56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</row>
    <row r="231" ht="15.0" customHeight="1">
      <c r="A231" s="51" t="str">
        <f t="shared" si="3"/>
        <v/>
      </c>
      <c r="B231" s="45"/>
      <c r="C231" s="39" t="str">
        <f t="shared" si="1"/>
        <v/>
      </c>
      <c r="D231" s="39" t="str">
        <f t="shared" si="2"/>
        <v/>
      </c>
      <c r="E231" s="45"/>
      <c r="F231" s="45"/>
      <c r="G231" s="45"/>
      <c r="H231" s="52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/>
      <c r="BR231" s="53"/>
      <c r="BS231" s="53"/>
      <c r="BT231" s="53"/>
      <c r="BU231" s="53"/>
      <c r="BV231" s="53"/>
      <c r="BW231" s="53"/>
      <c r="BX231" s="53"/>
      <c r="BY231" s="53"/>
      <c r="BZ231" s="53"/>
      <c r="CA231" s="53"/>
      <c r="CB231" s="53"/>
      <c r="CC231" s="53"/>
      <c r="CD231" s="53"/>
      <c r="CE231" s="53"/>
      <c r="CF231" s="53"/>
      <c r="CG231" s="53"/>
      <c r="CH231" s="53"/>
      <c r="CI231" s="53"/>
      <c r="CJ231" s="53"/>
      <c r="CK231" s="53"/>
      <c r="CL231" s="53"/>
      <c r="CM231" s="53"/>
      <c r="CN231" s="53"/>
      <c r="CO231" s="53"/>
      <c r="CP231" s="53"/>
      <c r="CQ231" s="53"/>
      <c r="CR231" s="53"/>
      <c r="CS231" s="53"/>
      <c r="CT231" s="53"/>
    </row>
    <row r="232" ht="15.0" customHeight="1">
      <c r="A232" s="54" t="str">
        <f t="shared" si="3"/>
        <v/>
      </c>
      <c r="B232" s="48"/>
      <c r="C232" s="55" t="str">
        <f t="shared" si="1"/>
        <v/>
      </c>
      <c r="D232" s="55" t="str">
        <f t="shared" si="2"/>
        <v/>
      </c>
      <c r="E232" s="48"/>
      <c r="F232" s="48"/>
      <c r="G232" s="48"/>
      <c r="H232" s="56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57"/>
      <c r="BS232" s="57"/>
      <c r="BT232" s="57"/>
      <c r="BU232" s="57"/>
      <c r="BV232" s="57"/>
      <c r="BW232" s="57"/>
      <c r="BX232" s="57"/>
      <c r="BY232" s="57"/>
      <c r="BZ232" s="57"/>
      <c r="CA232" s="57"/>
      <c r="CB232" s="57"/>
      <c r="CC232" s="57"/>
      <c r="CD232" s="57"/>
      <c r="CE232" s="57"/>
      <c r="CF232" s="57"/>
      <c r="CG232" s="57"/>
      <c r="CH232" s="57"/>
      <c r="CI232" s="57"/>
      <c r="CJ232" s="57"/>
      <c r="CK232" s="57"/>
      <c r="CL232" s="57"/>
      <c r="CM232" s="57"/>
      <c r="CN232" s="57"/>
      <c r="CO232" s="57"/>
      <c r="CP232" s="57"/>
      <c r="CQ232" s="57"/>
      <c r="CR232" s="57"/>
      <c r="CS232" s="57"/>
      <c r="CT232" s="57"/>
    </row>
    <row r="233" ht="15.0" customHeight="1">
      <c r="A233" s="51" t="str">
        <f t="shared" si="3"/>
        <v/>
      </c>
      <c r="B233" s="45"/>
      <c r="C233" s="39" t="str">
        <f t="shared" si="1"/>
        <v/>
      </c>
      <c r="D233" s="39" t="str">
        <f t="shared" si="2"/>
        <v/>
      </c>
      <c r="E233" s="45"/>
      <c r="F233" s="45"/>
      <c r="G233" s="45"/>
      <c r="H233" s="52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  <c r="BS233" s="53"/>
      <c r="BT233" s="53"/>
      <c r="BU233" s="53"/>
      <c r="BV233" s="53"/>
      <c r="BW233" s="53"/>
      <c r="BX233" s="53"/>
      <c r="BY233" s="53"/>
      <c r="BZ233" s="53"/>
      <c r="CA233" s="53"/>
      <c r="CB233" s="53"/>
      <c r="CC233" s="53"/>
      <c r="CD233" s="53"/>
      <c r="CE233" s="53"/>
      <c r="CF233" s="53"/>
      <c r="CG233" s="53"/>
      <c r="CH233" s="53"/>
      <c r="CI233" s="53"/>
      <c r="CJ233" s="53"/>
      <c r="CK233" s="53"/>
      <c r="CL233" s="53"/>
      <c r="CM233" s="53"/>
      <c r="CN233" s="53"/>
      <c r="CO233" s="53"/>
      <c r="CP233" s="53"/>
      <c r="CQ233" s="53"/>
      <c r="CR233" s="53"/>
      <c r="CS233" s="53"/>
      <c r="CT233" s="53"/>
    </row>
    <row r="234" ht="15.0" customHeight="1">
      <c r="A234" s="54" t="str">
        <f t="shared" si="3"/>
        <v/>
      </c>
      <c r="B234" s="48"/>
      <c r="C234" s="55" t="str">
        <f t="shared" si="1"/>
        <v/>
      </c>
      <c r="D234" s="55" t="str">
        <f t="shared" si="2"/>
        <v/>
      </c>
      <c r="E234" s="48"/>
      <c r="F234" s="48"/>
      <c r="G234" s="48"/>
      <c r="H234" s="56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  <c r="BQ234" s="57"/>
      <c r="BR234" s="57"/>
      <c r="BS234" s="57"/>
      <c r="BT234" s="57"/>
      <c r="BU234" s="57"/>
      <c r="BV234" s="57"/>
      <c r="BW234" s="57"/>
      <c r="BX234" s="57"/>
      <c r="BY234" s="57"/>
      <c r="BZ234" s="57"/>
      <c r="CA234" s="57"/>
      <c r="CB234" s="57"/>
      <c r="CC234" s="57"/>
      <c r="CD234" s="57"/>
      <c r="CE234" s="57"/>
      <c r="CF234" s="57"/>
      <c r="CG234" s="57"/>
      <c r="CH234" s="57"/>
      <c r="CI234" s="57"/>
      <c r="CJ234" s="57"/>
      <c r="CK234" s="57"/>
      <c r="CL234" s="57"/>
      <c r="CM234" s="57"/>
      <c r="CN234" s="57"/>
      <c r="CO234" s="57"/>
      <c r="CP234" s="57"/>
      <c r="CQ234" s="57"/>
      <c r="CR234" s="57"/>
      <c r="CS234" s="57"/>
      <c r="CT234" s="57"/>
    </row>
    <row r="235" ht="15.0" customHeight="1">
      <c r="A235" s="51" t="str">
        <f t="shared" si="3"/>
        <v/>
      </c>
      <c r="B235" s="45"/>
      <c r="C235" s="39" t="str">
        <f t="shared" si="1"/>
        <v/>
      </c>
      <c r="D235" s="39" t="str">
        <f t="shared" si="2"/>
        <v/>
      </c>
      <c r="E235" s="45"/>
      <c r="F235" s="45"/>
      <c r="G235" s="45"/>
      <c r="H235" s="52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53"/>
      <c r="BR235" s="53"/>
      <c r="BS235" s="53"/>
      <c r="BT235" s="53"/>
      <c r="BU235" s="53"/>
      <c r="BV235" s="53"/>
      <c r="BW235" s="53"/>
      <c r="BX235" s="53"/>
      <c r="BY235" s="53"/>
      <c r="BZ235" s="53"/>
      <c r="CA235" s="53"/>
      <c r="CB235" s="53"/>
      <c r="CC235" s="53"/>
      <c r="CD235" s="53"/>
      <c r="CE235" s="53"/>
      <c r="CF235" s="53"/>
      <c r="CG235" s="53"/>
      <c r="CH235" s="53"/>
      <c r="CI235" s="53"/>
      <c r="CJ235" s="53"/>
      <c r="CK235" s="53"/>
      <c r="CL235" s="53"/>
      <c r="CM235" s="53"/>
      <c r="CN235" s="53"/>
      <c r="CO235" s="53"/>
      <c r="CP235" s="53"/>
      <c r="CQ235" s="53"/>
      <c r="CR235" s="53"/>
      <c r="CS235" s="53"/>
      <c r="CT235" s="53"/>
    </row>
    <row r="236" ht="15.0" customHeight="1">
      <c r="A236" s="54" t="str">
        <f t="shared" si="3"/>
        <v/>
      </c>
      <c r="B236" s="48"/>
      <c r="C236" s="55" t="str">
        <f t="shared" si="1"/>
        <v/>
      </c>
      <c r="D236" s="55" t="str">
        <f t="shared" si="2"/>
        <v/>
      </c>
      <c r="E236" s="48"/>
      <c r="F236" s="48"/>
      <c r="G236" s="48"/>
      <c r="H236" s="56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57"/>
      <c r="BS236" s="57"/>
      <c r="BT236" s="57"/>
      <c r="BU236" s="57"/>
      <c r="BV236" s="57"/>
      <c r="BW236" s="57"/>
      <c r="BX236" s="57"/>
      <c r="BY236" s="57"/>
      <c r="BZ236" s="57"/>
      <c r="CA236" s="57"/>
      <c r="CB236" s="57"/>
      <c r="CC236" s="57"/>
      <c r="CD236" s="57"/>
      <c r="CE236" s="57"/>
      <c r="CF236" s="57"/>
      <c r="CG236" s="57"/>
      <c r="CH236" s="57"/>
      <c r="CI236" s="57"/>
      <c r="CJ236" s="57"/>
      <c r="CK236" s="57"/>
      <c r="CL236" s="57"/>
      <c r="CM236" s="57"/>
      <c r="CN236" s="57"/>
      <c r="CO236" s="57"/>
      <c r="CP236" s="57"/>
      <c r="CQ236" s="57"/>
      <c r="CR236" s="57"/>
      <c r="CS236" s="57"/>
      <c r="CT236" s="57"/>
    </row>
    <row r="237" ht="15.0" customHeight="1">
      <c r="A237" s="51" t="str">
        <f t="shared" si="3"/>
        <v/>
      </c>
      <c r="B237" s="45"/>
      <c r="C237" s="39" t="str">
        <f t="shared" si="1"/>
        <v/>
      </c>
      <c r="D237" s="39" t="str">
        <f t="shared" si="2"/>
        <v/>
      </c>
      <c r="E237" s="45"/>
      <c r="F237" s="45"/>
      <c r="G237" s="45"/>
      <c r="H237" s="52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/>
      <c r="BR237" s="53"/>
      <c r="BS237" s="53"/>
      <c r="BT237" s="53"/>
      <c r="BU237" s="53"/>
      <c r="BV237" s="53"/>
      <c r="BW237" s="53"/>
      <c r="BX237" s="53"/>
      <c r="BY237" s="53"/>
      <c r="BZ237" s="53"/>
      <c r="CA237" s="53"/>
      <c r="CB237" s="53"/>
      <c r="CC237" s="53"/>
      <c r="CD237" s="53"/>
      <c r="CE237" s="53"/>
      <c r="CF237" s="53"/>
      <c r="CG237" s="53"/>
      <c r="CH237" s="53"/>
      <c r="CI237" s="53"/>
      <c r="CJ237" s="53"/>
      <c r="CK237" s="53"/>
      <c r="CL237" s="53"/>
      <c r="CM237" s="53"/>
      <c r="CN237" s="53"/>
      <c r="CO237" s="53"/>
      <c r="CP237" s="53"/>
      <c r="CQ237" s="53"/>
      <c r="CR237" s="53"/>
      <c r="CS237" s="53"/>
      <c r="CT237" s="53"/>
    </row>
    <row r="238" ht="15.0" customHeight="1">
      <c r="A238" s="54" t="str">
        <f t="shared" si="3"/>
        <v/>
      </c>
      <c r="B238" s="48"/>
      <c r="C238" s="55" t="str">
        <f t="shared" si="1"/>
        <v/>
      </c>
      <c r="D238" s="55" t="str">
        <f t="shared" si="2"/>
        <v/>
      </c>
      <c r="E238" s="48"/>
      <c r="F238" s="48"/>
      <c r="G238" s="48"/>
      <c r="H238" s="56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57"/>
      <c r="BS238" s="57"/>
      <c r="BT238" s="57"/>
      <c r="BU238" s="57"/>
      <c r="BV238" s="57"/>
      <c r="BW238" s="57"/>
      <c r="BX238" s="57"/>
      <c r="BY238" s="57"/>
      <c r="BZ238" s="57"/>
      <c r="CA238" s="57"/>
      <c r="CB238" s="57"/>
      <c r="CC238" s="57"/>
      <c r="CD238" s="57"/>
      <c r="CE238" s="57"/>
      <c r="CF238" s="57"/>
      <c r="CG238" s="57"/>
      <c r="CH238" s="57"/>
      <c r="CI238" s="57"/>
      <c r="CJ238" s="57"/>
      <c r="CK238" s="57"/>
      <c r="CL238" s="57"/>
      <c r="CM238" s="57"/>
      <c r="CN238" s="57"/>
      <c r="CO238" s="57"/>
      <c r="CP238" s="57"/>
      <c r="CQ238" s="57"/>
      <c r="CR238" s="57"/>
      <c r="CS238" s="57"/>
      <c r="CT238" s="57"/>
    </row>
    <row r="239" ht="15.0" customHeight="1">
      <c r="A239" s="51" t="str">
        <f t="shared" si="3"/>
        <v/>
      </c>
      <c r="B239" s="45"/>
      <c r="C239" s="39" t="str">
        <f t="shared" si="1"/>
        <v/>
      </c>
      <c r="D239" s="39" t="str">
        <f t="shared" si="2"/>
        <v/>
      </c>
      <c r="E239" s="45"/>
      <c r="F239" s="45"/>
      <c r="G239" s="45"/>
      <c r="H239" s="52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/>
      <c r="BR239" s="53"/>
      <c r="BS239" s="53"/>
      <c r="BT239" s="53"/>
      <c r="BU239" s="53"/>
      <c r="BV239" s="53"/>
      <c r="BW239" s="53"/>
      <c r="BX239" s="53"/>
      <c r="BY239" s="53"/>
      <c r="BZ239" s="53"/>
      <c r="CA239" s="53"/>
      <c r="CB239" s="53"/>
      <c r="CC239" s="53"/>
      <c r="CD239" s="53"/>
      <c r="CE239" s="53"/>
      <c r="CF239" s="53"/>
      <c r="CG239" s="53"/>
      <c r="CH239" s="53"/>
      <c r="CI239" s="53"/>
      <c r="CJ239" s="53"/>
      <c r="CK239" s="53"/>
      <c r="CL239" s="53"/>
      <c r="CM239" s="53"/>
      <c r="CN239" s="53"/>
      <c r="CO239" s="53"/>
      <c r="CP239" s="53"/>
      <c r="CQ239" s="53"/>
      <c r="CR239" s="53"/>
      <c r="CS239" s="53"/>
      <c r="CT239" s="53"/>
    </row>
    <row r="240" ht="15.0" customHeight="1">
      <c r="A240" s="54" t="str">
        <f t="shared" si="3"/>
        <v/>
      </c>
      <c r="B240" s="48"/>
      <c r="C240" s="55" t="str">
        <f t="shared" si="1"/>
        <v/>
      </c>
      <c r="D240" s="55" t="str">
        <f t="shared" si="2"/>
        <v/>
      </c>
      <c r="E240" s="48"/>
      <c r="F240" s="48"/>
      <c r="G240" s="48"/>
      <c r="H240" s="56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/>
      <c r="BR240" s="57"/>
      <c r="BS240" s="57"/>
      <c r="BT240" s="57"/>
      <c r="BU240" s="57"/>
      <c r="BV240" s="57"/>
      <c r="BW240" s="57"/>
      <c r="BX240" s="57"/>
      <c r="BY240" s="57"/>
      <c r="BZ240" s="57"/>
      <c r="CA240" s="57"/>
      <c r="CB240" s="57"/>
      <c r="CC240" s="57"/>
      <c r="CD240" s="57"/>
      <c r="CE240" s="57"/>
      <c r="CF240" s="57"/>
      <c r="CG240" s="57"/>
      <c r="CH240" s="57"/>
      <c r="CI240" s="57"/>
      <c r="CJ240" s="57"/>
      <c r="CK240" s="57"/>
      <c r="CL240" s="57"/>
      <c r="CM240" s="57"/>
      <c r="CN240" s="57"/>
      <c r="CO240" s="57"/>
      <c r="CP240" s="57"/>
      <c r="CQ240" s="57"/>
      <c r="CR240" s="57"/>
      <c r="CS240" s="57"/>
      <c r="CT240" s="57"/>
    </row>
    <row r="241" ht="15.0" customHeight="1">
      <c r="A241" s="51" t="str">
        <f t="shared" si="3"/>
        <v/>
      </c>
      <c r="B241" s="45"/>
      <c r="C241" s="39" t="str">
        <f t="shared" si="1"/>
        <v/>
      </c>
      <c r="D241" s="39" t="str">
        <f t="shared" si="2"/>
        <v/>
      </c>
      <c r="E241" s="45"/>
      <c r="F241" s="45"/>
      <c r="G241" s="45"/>
      <c r="H241" s="52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/>
      <c r="BR241" s="53"/>
      <c r="BS241" s="53"/>
      <c r="BT241" s="53"/>
      <c r="BU241" s="53"/>
      <c r="BV241" s="53"/>
      <c r="BW241" s="53"/>
      <c r="BX241" s="53"/>
      <c r="BY241" s="53"/>
      <c r="BZ241" s="53"/>
      <c r="CA241" s="53"/>
      <c r="CB241" s="53"/>
      <c r="CC241" s="53"/>
      <c r="CD241" s="53"/>
      <c r="CE241" s="53"/>
      <c r="CF241" s="53"/>
      <c r="CG241" s="53"/>
      <c r="CH241" s="53"/>
      <c r="CI241" s="53"/>
      <c r="CJ241" s="53"/>
      <c r="CK241" s="53"/>
      <c r="CL241" s="53"/>
      <c r="CM241" s="53"/>
      <c r="CN241" s="53"/>
      <c r="CO241" s="53"/>
      <c r="CP241" s="53"/>
      <c r="CQ241" s="53"/>
      <c r="CR241" s="53"/>
      <c r="CS241" s="53"/>
      <c r="CT241" s="53"/>
    </row>
    <row r="242" ht="15.0" customHeight="1">
      <c r="A242" s="54" t="str">
        <f t="shared" si="3"/>
        <v/>
      </c>
      <c r="B242" s="48"/>
      <c r="C242" s="55" t="str">
        <f t="shared" si="1"/>
        <v/>
      </c>
      <c r="D242" s="55" t="str">
        <f t="shared" si="2"/>
        <v/>
      </c>
      <c r="E242" s="48"/>
      <c r="F242" s="48"/>
      <c r="G242" s="48"/>
      <c r="H242" s="56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57"/>
      <c r="BS242" s="57"/>
      <c r="BT242" s="57"/>
      <c r="BU242" s="57"/>
      <c r="BV242" s="57"/>
      <c r="BW242" s="57"/>
      <c r="BX242" s="57"/>
      <c r="BY242" s="57"/>
      <c r="BZ242" s="57"/>
      <c r="CA242" s="57"/>
      <c r="CB242" s="57"/>
      <c r="CC242" s="57"/>
      <c r="CD242" s="57"/>
      <c r="CE242" s="57"/>
      <c r="CF242" s="57"/>
      <c r="CG242" s="57"/>
      <c r="CH242" s="57"/>
      <c r="CI242" s="57"/>
      <c r="CJ242" s="57"/>
      <c r="CK242" s="57"/>
      <c r="CL242" s="57"/>
      <c r="CM242" s="57"/>
      <c r="CN242" s="57"/>
      <c r="CO242" s="57"/>
      <c r="CP242" s="57"/>
      <c r="CQ242" s="57"/>
      <c r="CR242" s="57"/>
      <c r="CS242" s="57"/>
      <c r="CT242" s="57"/>
    </row>
    <row r="243" ht="15.0" customHeight="1">
      <c r="A243" s="51" t="str">
        <f t="shared" si="3"/>
        <v/>
      </c>
      <c r="B243" s="45"/>
      <c r="C243" s="39" t="str">
        <f t="shared" si="1"/>
        <v/>
      </c>
      <c r="D243" s="39" t="str">
        <f t="shared" si="2"/>
        <v/>
      </c>
      <c r="E243" s="45"/>
      <c r="F243" s="45"/>
      <c r="G243" s="45"/>
      <c r="H243" s="52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/>
      <c r="BR243" s="53"/>
      <c r="BS243" s="53"/>
      <c r="BT243" s="53"/>
      <c r="BU243" s="53"/>
      <c r="BV243" s="53"/>
      <c r="BW243" s="53"/>
      <c r="BX243" s="53"/>
      <c r="BY243" s="53"/>
      <c r="BZ243" s="53"/>
      <c r="CA243" s="53"/>
      <c r="CB243" s="53"/>
      <c r="CC243" s="53"/>
      <c r="CD243" s="53"/>
      <c r="CE243" s="53"/>
      <c r="CF243" s="53"/>
      <c r="CG243" s="53"/>
      <c r="CH243" s="53"/>
      <c r="CI243" s="53"/>
      <c r="CJ243" s="53"/>
      <c r="CK243" s="53"/>
      <c r="CL243" s="53"/>
      <c r="CM243" s="53"/>
      <c r="CN243" s="53"/>
      <c r="CO243" s="53"/>
      <c r="CP243" s="53"/>
      <c r="CQ243" s="53"/>
      <c r="CR243" s="53"/>
      <c r="CS243" s="53"/>
      <c r="CT243" s="53"/>
    </row>
    <row r="244" ht="15.0" customHeight="1">
      <c r="A244" s="54" t="str">
        <f t="shared" si="3"/>
        <v/>
      </c>
      <c r="B244" s="48"/>
      <c r="C244" s="55" t="str">
        <f t="shared" si="1"/>
        <v/>
      </c>
      <c r="D244" s="55" t="str">
        <f t="shared" si="2"/>
        <v/>
      </c>
      <c r="E244" s="48"/>
      <c r="F244" s="48"/>
      <c r="G244" s="48"/>
      <c r="H244" s="56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57"/>
      <c r="BS244" s="57"/>
      <c r="BT244" s="57"/>
      <c r="BU244" s="57"/>
      <c r="BV244" s="57"/>
      <c r="BW244" s="57"/>
      <c r="BX244" s="57"/>
      <c r="BY244" s="57"/>
      <c r="BZ244" s="57"/>
      <c r="CA244" s="57"/>
      <c r="CB244" s="57"/>
      <c r="CC244" s="57"/>
      <c r="CD244" s="57"/>
      <c r="CE244" s="57"/>
      <c r="CF244" s="57"/>
      <c r="CG244" s="57"/>
      <c r="CH244" s="57"/>
      <c r="CI244" s="57"/>
      <c r="CJ244" s="57"/>
      <c r="CK244" s="57"/>
      <c r="CL244" s="57"/>
      <c r="CM244" s="57"/>
      <c r="CN244" s="57"/>
      <c r="CO244" s="57"/>
      <c r="CP244" s="57"/>
      <c r="CQ244" s="57"/>
      <c r="CR244" s="57"/>
      <c r="CS244" s="57"/>
      <c r="CT244" s="57"/>
    </row>
    <row r="245" ht="15.0" customHeight="1">
      <c r="A245" s="51" t="str">
        <f t="shared" si="3"/>
        <v/>
      </c>
      <c r="B245" s="45"/>
      <c r="C245" s="39" t="str">
        <f t="shared" si="1"/>
        <v/>
      </c>
      <c r="D245" s="39" t="str">
        <f t="shared" si="2"/>
        <v/>
      </c>
      <c r="E245" s="45"/>
      <c r="F245" s="45"/>
      <c r="G245" s="45"/>
      <c r="H245" s="52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  <c r="BS245" s="53"/>
      <c r="BT245" s="53"/>
      <c r="BU245" s="53"/>
      <c r="BV245" s="53"/>
      <c r="BW245" s="53"/>
      <c r="BX245" s="53"/>
      <c r="BY245" s="53"/>
      <c r="BZ245" s="53"/>
      <c r="CA245" s="53"/>
      <c r="CB245" s="53"/>
      <c r="CC245" s="53"/>
      <c r="CD245" s="53"/>
      <c r="CE245" s="53"/>
      <c r="CF245" s="53"/>
      <c r="CG245" s="53"/>
      <c r="CH245" s="53"/>
      <c r="CI245" s="53"/>
      <c r="CJ245" s="53"/>
      <c r="CK245" s="53"/>
      <c r="CL245" s="53"/>
      <c r="CM245" s="53"/>
      <c r="CN245" s="53"/>
      <c r="CO245" s="53"/>
      <c r="CP245" s="53"/>
      <c r="CQ245" s="53"/>
      <c r="CR245" s="53"/>
      <c r="CS245" s="53"/>
      <c r="CT245" s="53"/>
    </row>
    <row r="246" ht="15.0" customHeight="1">
      <c r="A246" s="54" t="str">
        <f t="shared" si="3"/>
        <v/>
      </c>
      <c r="B246" s="48"/>
      <c r="C246" s="55" t="str">
        <f t="shared" si="1"/>
        <v/>
      </c>
      <c r="D246" s="55" t="str">
        <f t="shared" si="2"/>
        <v/>
      </c>
      <c r="E246" s="48"/>
      <c r="F246" s="48"/>
      <c r="G246" s="48"/>
      <c r="H246" s="56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  <c r="BQ246" s="57"/>
      <c r="BR246" s="57"/>
      <c r="BS246" s="57"/>
      <c r="BT246" s="57"/>
      <c r="BU246" s="57"/>
      <c r="BV246" s="57"/>
      <c r="BW246" s="57"/>
      <c r="BX246" s="57"/>
      <c r="BY246" s="57"/>
      <c r="BZ246" s="57"/>
      <c r="CA246" s="57"/>
      <c r="CB246" s="57"/>
      <c r="CC246" s="57"/>
      <c r="CD246" s="57"/>
      <c r="CE246" s="57"/>
      <c r="CF246" s="57"/>
      <c r="CG246" s="57"/>
      <c r="CH246" s="57"/>
      <c r="CI246" s="57"/>
      <c r="CJ246" s="57"/>
      <c r="CK246" s="57"/>
      <c r="CL246" s="57"/>
      <c r="CM246" s="57"/>
      <c r="CN246" s="57"/>
      <c r="CO246" s="57"/>
      <c r="CP246" s="57"/>
      <c r="CQ246" s="57"/>
      <c r="CR246" s="57"/>
      <c r="CS246" s="57"/>
      <c r="CT246" s="57"/>
    </row>
    <row r="247" ht="15.0" customHeight="1">
      <c r="A247" s="51" t="str">
        <f t="shared" si="3"/>
        <v/>
      </c>
      <c r="B247" s="45"/>
      <c r="C247" s="39" t="str">
        <f t="shared" si="1"/>
        <v/>
      </c>
      <c r="D247" s="39" t="str">
        <f t="shared" si="2"/>
        <v/>
      </c>
      <c r="E247" s="45"/>
      <c r="F247" s="45"/>
      <c r="G247" s="45"/>
      <c r="H247" s="52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/>
      <c r="BR247" s="53"/>
      <c r="BS247" s="53"/>
      <c r="BT247" s="53"/>
      <c r="BU247" s="53"/>
      <c r="BV247" s="53"/>
      <c r="BW247" s="53"/>
      <c r="BX247" s="53"/>
      <c r="BY247" s="53"/>
      <c r="BZ247" s="53"/>
      <c r="CA247" s="53"/>
      <c r="CB247" s="53"/>
      <c r="CC247" s="53"/>
      <c r="CD247" s="53"/>
      <c r="CE247" s="53"/>
      <c r="CF247" s="53"/>
      <c r="CG247" s="53"/>
      <c r="CH247" s="53"/>
      <c r="CI247" s="53"/>
      <c r="CJ247" s="53"/>
      <c r="CK247" s="53"/>
      <c r="CL247" s="53"/>
      <c r="CM247" s="53"/>
      <c r="CN247" s="53"/>
      <c r="CO247" s="53"/>
      <c r="CP247" s="53"/>
      <c r="CQ247" s="53"/>
      <c r="CR247" s="53"/>
      <c r="CS247" s="53"/>
      <c r="CT247" s="53"/>
    </row>
    <row r="248" ht="15.0" customHeight="1">
      <c r="A248" s="54" t="str">
        <f t="shared" si="3"/>
        <v/>
      </c>
      <c r="B248" s="48"/>
      <c r="C248" s="55" t="str">
        <f t="shared" si="1"/>
        <v/>
      </c>
      <c r="D248" s="55" t="str">
        <f t="shared" si="2"/>
        <v/>
      </c>
      <c r="E248" s="48"/>
      <c r="F248" s="48"/>
      <c r="G248" s="48"/>
      <c r="H248" s="56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/>
      <c r="BE248" s="57"/>
      <c r="BF248" s="57"/>
      <c r="BG248" s="57"/>
      <c r="BH248" s="57"/>
      <c r="BI248" s="57"/>
      <c r="BJ248" s="57"/>
      <c r="BK248" s="57"/>
      <c r="BL248" s="57"/>
      <c r="BM248" s="57"/>
      <c r="BN248" s="57"/>
      <c r="BO248" s="57"/>
      <c r="BP248" s="57"/>
      <c r="BQ248" s="57"/>
      <c r="BR248" s="57"/>
      <c r="BS248" s="57"/>
      <c r="BT248" s="57"/>
      <c r="BU248" s="57"/>
      <c r="BV248" s="57"/>
      <c r="BW248" s="57"/>
      <c r="BX248" s="57"/>
      <c r="BY248" s="57"/>
      <c r="BZ248" s="57"/>
      <c r="CA248" s="57"/>
      <c r="CB248" s="57"/>
      <c r="CC248" s="57"/>
      <c r="CD248" s="57"/>
      <c r="CE248" s="57"/>
      <c r="CF248" s="57"/>
      <c r="CG248" s="57"/>
      <c r="CH248" s="57"/>
      <c r="CI248" s="57"/>
      <c r="CJ248" s="57"/>
      <c r="CK248" s="57"/>
      <c r="CL248" s="57"/>
      <c r="CM248" s="57"/>
      <c r="CN248" s="57"/>
      <c r="CO248" s="57"/>
      <c r="CP248" s="57"/>
      <c r="CQ248" s="57"/>
      <c r="CR248" s="57"/>
      <c r="CS248" s="57"/>
      <c r="CT248" s="57"/>
    </row>
    <row r="249" ht="15.0" customHeight="1">
      <c r="A249" s="51" t="str">
        <f t="shared" si="3"/>
        <v/>
      </c>
      <c r="B249" s="45"/>
      <c r="C249" s="39" t="str">
        <f t="shared" si="1"/>
        <v/>
      </c>
      <c r="D249" s="39" t="str">
        <f t="shared" si="2"/>
        <v/>
      </c>
      <c r="E249" s="45"/>
      <c r="F249" s="45"/>
      <c r="G249" s="45"/>
      <c r="H249" s="52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  <c r="BS249" s="53"/>
      <c r="BT249" s="53"/>
      <c r="BU249" s="53"/>
      <c r="BV249" s="53"/>
      <c r="BW249" s="53"/>
      <c r="BX249" s="53"/>
      <c r="BY249" s="53"/>
      <c r="BZ249" s="53"/>
      <c r="CA249" s="53"/>
      <c r="CB249" s="53"/>
      <c r="CC249" s="53"/>
      <c r="CD249" s="53"/>
      <c r="CE249" s="53"/>
      <c r="CF249" s="53"/>
      <c r="CG249" s="53"/>
      <c r="CH249" s="53"/>
      <c r="CI249" s="53"/>
      <c r="CJ249" s="53"/>
      <c r="CK249" s="53"/>
      <c r="CL249" s="53"/>
      <c r="CM249" s="53"/>
      <c r="CN249" s="53"/>
      <c r="CO249" s="53"/>
      <c r="CP249" s="53"/>
      <c r="CQ249" s="53"/>
      <c r="CR249" s="53"/>
      <c r="CS249" s="53"/>
      <c r="CT249" s="53"/>
    </row>
    <row r="250" ht="15.0" customHeight="1">
      <c r="A250" s="54" t="str">
        <f t="shared" si="3"/>
        <v/>
      </c>
      <c r="B250" s="48"/>
      <c r="C250" s="55" t="str">
        <f t="shared" si="1"/>
        <v/>
      </c>
      <c r="D250" s="55" t="str">
        <f t="shared" si="2"/>
        <v/>
      </c>
      <c r="E250" s="48"/>
      <c r="F250" s="48"/>
      <c r="G250" s="48"/>
      <c r="H250" s="56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  <c r="BV250" s="57"/>
      <c r="BW250" s="57"/>
      <c r="BX250" s="57"/>
      <c r="BY250" s="57"/>
      <c r="BZ250" s="57"/>
      <c r="CA250" s="57"/>
      <c r="CB250" s="57"/>
      <c r="CC250" s="57"/>
      <c r="CD250" s="57"/>
      <c r="CE250" s="57"/>
      <c r="CF250" s="57"/>
      <c r="CG250" s="57"/>
      <c r="CH250" s="57"/>
      <c r="CI250" s="57"/>
      <c r="CJ250" s="57"/>
      <c r="CK250" s="57"/>
      <c r="CL250" s="57"/>
      <c r="CM250" s="57"/>
      <c r="CN250" s="57"/>
      <c r="CO250" s="57"/>
      <c r="CP250" s="57"/>
      <c r="CQ250" s="57"/>
      <c r="CR250" s="57"/>
      <c r="CS250" s="57"/>
      <c r="CT250" s="57"/>
    </row>
    <row r="251" ht="15.0" customHeight="1">
      <c r="A251" s="51" t="str">
        <f t="shared" si="3"/>
        <v/>
      </c>
      <c r="B251" s="45"/>
      <c r="C251" s="39" t="str">
        <f t="shared" si="1"/>
        <v/>
      </c>
      <c r="D251" s="39" t="str">
        <f t="shared" si="2"/>
        <v/>
      </c>
      <c r="E251" s="45"/>
      <c r="F251" s="45"/>
      <c r="G251" s="45"/>
      <c r="H251" s="52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/>
      <c r="BR251" s="53"/>
      <c r="BS251" s="53"/>
      <c r="BT251" s="53"/>
      <c r="BU251" s="53"/>
      <c r="BV251" s="53"/>
      <c r="BW251" s="53"/>
      <c r="BX251" s="53"/>
      <c r="BY251" s="53"/>
      <c r="BZ251" s="53"/>
      <c r="CA251" s="53"/>
      <c r="CB251" s="53"/>
      <c r="CC251" s="53"/>
      <c r="CD251" s="53"/>
      <c r="CE251" s="53"/>
      <c r="CF251" s="53"/>
      <c r="CG251" s="53"/>
      <c r="CH251" s="53"/>
      <c r="CI251" s="53"/>
      <c r="CJ251" s="53"/>
      <c r="CK251" s="53"/>
      <c r="CL251" s="53"/>
      <c r="CM251" s="53"/>
      <c r="CN251" s="53"/>
      <c r="CO251" s="53"/>
      <c r="CP251" s="53"/>
      <c r="CQ251" s="53"/>
      <c r="CR251" s="53"/>
      <c r="CS251" s="53"/>
      <c r="CT251" s="53"/>
    </row>
    <row r="252" ht="15.0" customHeight="1">
      <c r="A252" s="54" t="str">
        <f t="shared" si="3"/>
        <v/>
      </c>
      <c r="B252" s="48"/>
      <c r="C252" s="55" t="str">
        <f t="shared" si="1"/>
        <v/>
      </c>
      <c r="D252" s="55" t="str">
        <f t="shared" si="2"/>
        <v/>
      </c>
      <c r="E252" s="48"/>
      <c r="F252" s="48"/>
      <c r="G252" s="48"/>
      <c r="H252" s="56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  <c r="BV252" s="57"/>
      <c r="BW252" s="57"/>
      <c r="BX252" s="57"/>
      <c r="BY252" s="57"/>
      <c r="BZ252" s="57"/>
      <c r="CA252" s="57"/>
      <c r="CB252" s="57"/>
      <c r="CC252" s="57"/>
      <c r="CD252" s="57"/>
      <c r="CE252" s="57"/>
      <c r="CF252" s="57"/>
      <c r="CG252" s="57"/>
      <c r="CH252" s="57"/>
      <c r="CI252" s="57"/>
      <c r="CJ252" s="57"/>
      <c r="CK252" s="57"/>
      <c r="CL252" s="57"/>
      <c r="CM252" s="57"/>
      <c r="CN252" s="57"/>
      <c r="CO252" s="57"/>
      <c r="CP252" s="57"/>
      <c r="CQ252" s="57"/>
      <c r="CR252" s="57"/>
      <c r="CS252" s="57"/>
      <c r="CT252" s="57"/>
    </row>
    <row r="253" ht="15.0" customHeight="1">
      <c r="A253" s="51" t="str">
        <f t="shared" si="3"/>
        <v/>
      </c>
      <c r="B253" s="45"/>
      <c r="C253" s="39" t="str">
        <f t="shared" si="1"/>
        <v/>
      </c>
      <c r="D253" s="39" t="str">
        <f t="shared" si="2"/>
        <v/>
      </c>
      <c r="E253" s="45"/>
      <c r="F253" s="45"/>
      <c r="G253" s="45"/>
      <c r="H253" s="52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/>
      <c r="BR253" s="53"/>
      <c r="BS253" s="53"/>
      <c r="BT253" s="53"/>
      <c r="BU253" s="53"/>
      <c r="BV253" s="53"/>
      <c r="BW253" s="53"/>
      <c r="BX253" s="53"/>
      <c r="BY253" s="53"/>
      <c r="BZ253" s="53"/>
      <c r="CA253" s="53"/>
      <c r="CB253" s="53"/>
      <c r="CC253" s="53"/>
      <c r="CD253" s="53"/>
      <c r="CE253" s="53"/>
      <c r="CF253" s="53"/>
      <c r="CG253" s="53"/>
      <c r="CH253" s="53"/>
      <c r="CI253" s="53"/>
      <c r="CJ253" s="53"/>
      <c r="CK253" s="53"/>
      <c r="CL253" s="53"/>
      <c r="CM253" s="53"/>
      <c r="CN253" s="53"/>
      <c r="CO253" s="53"/>
      <c r="CP253" s="53"/>
      <c r="CQ253" s="53"/>
      <c r="CR253" s="53"/>
      <c r="CS253" s="53"/>
      <c r="CT253" s="53"/>
    </row>
    <row r="254" ht="15.0" customHeight="1">
      <c r="A254" s="54" t="str">
        <f t="shared" si="3"/>
        <v/>
      </c>
      <c r="B254" s="48"/>
      <c r="C254" s="55" t="str">
        <f t="shared" si="1"/>
        <v/>
      </c>
      <c r="D254" s="55" t="str">
        <f t="shared" si="2"/>
        <v/>
      </c>
      <c r="E254" s="48"/>
      <c r="F254" s="48"/>
      <c r="G254" s="48"/>
      <c r="H254" s="56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  <c r="BV254" s="57"/>
      <c r="BW254" s="57"/>
      <c r="BX254" s="57"/>
      <c r="BY254" s="57"/>
      <c r="BZ254" s="57"/>
      <c r="CA254" s="57"/>
      <c r="CB254" s="57"/>
      <c r="CC254" s="57"/>
      <c r="CD254" s="57"/>
      <c r="CE254" s="57"/>
      <c r="CF254" s="57"/>
      <c r="CG254" s="57"/>
      <c r="CH254" s="57"/>
      <c r="CI254" s="57"/>
      <c r="CJ254" s="57"/>
      <c r="CK254" s="57"/>
      <c r="CL254" s="57"/>
      <c r="CM254" s="57"/>
      <c r="CN254" s="57"/>
      <c r="CO254" s="57"/>
      <c r="CP254" s="57"/>
      <c r="CQ254" s="57"/>
      <c r="CR254" s="57"/>
      <c r="CS254" s="57"/>
      <c r="CT254" s="57"/>
    </row>
    <row r="255" ht="15.0" customHeight="1">
      <c r="A255" s="51" t="str">
        <f t="shared" si="3"/>
        <v/>
      </c>
      <c r="B255" s="45"/>
      <c r="C255" s="39" t="str">
        <f t="shared" si="1"/>
        <v/>
      </c>
      <c r="D255" s="39" t="str">
        <f t="shared" si="2"/>
        <v/>
      </c>
      <c r="E255" s="45"/>
      <c r="F255" s="45"/>
      <c r="G255" s="45"/>
      <c r="H255" s="52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53"/>
      <c r="BR255" s="53"/>
      <c r="BS255" s="53"/>
      <c r="BT255" s="53"/>
      <c r="BU255" s="53"/>
      <c r="BV255" s="53"/>
      <c r="BW255" s="53"/>
      <c r="BX255" s="53"/>
      <c r="BY255" s="53"/>
      <c r="BZ255" s="53"/>
      <c r="CA255" s="53"/>
      <c r="CB255" s="53"/>
      <c r="CC255" s="53"/>
      <c r="CD255" s="53"/>
      <c r="CE255" s="53"/>
      <c r="CF255" s="53"/>
      <c r="CG255" s="53"/>
      <c r="CH255" s="53"/>
      <c r="CI255" s="53"/>
      <c r="CJ255" s="53"/>
      <c r="CK255" s="53"/>
      <c r="CL255" s="53"/>
      <c r="CM255" s="53"/>
      <c r="CN255" s="53"/>
      <c r="CO255" s="53"/>
      <c r="CP255" s="53"/>
      <c r="CQ255" s="53"/>
      <c r="CR255" s="53"/>
      <c r="CS255" s="53"/>
      <c r="CT255" s="53"/>
    </row>
    <row r="256" ht="15.0" customHeight="1">
      <c r="A256" s="54" t="str">
        <f t="shared" si="3"/>
        <v/>
      </c>
      <c r="B256" s="48"/>
      <c r="C256" s="55" t="str">
        <f t="shared" si="1"/>
        <v/>
      </c>
      <c r="D256" s="55" t="str">
        <f t="shared" si="2"/>
        <v/>
      </c>
      <c r="E256" s="48"/>
      <c r="F256" s="48"/>
      <c r="G256" s="48"/>
      <c r="H256" s="56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7"/>
      <c r="BZ256" s="57"/>
      <c r="CA256" s="57"/>
      <c r="CB256" s="57"/>
      <c r="CC256" s="57"/>
      <c r="CD256" s="57"/>
      <c r="CE256" s="57"/>
      <c r="CF256" s="57"/>
      <c r="CG256" s="57"/>
      <c r="CH256" s="57"/>
      <c r="CI256" s="57"/>
      <c r="CJ256" s="57"/>
      <c r="CK256" s="57"/>
      <c r="CL256" s="57"/>
      <c r="CM256" s="57"/>
      <c r="CN256" s="57"/>
      <c r="CO256" s="57"/>
      <c r="CP256" s="57"/>
      <c r="CQ256" s="57"/>
      <c r="CR256" s="57"/>
      <c r="CS256" s="57"/>
      <c r="CT256" s="57"/>
    </row>
    <row r="257" ht="15.0" customHeight="1">
      <c r="A257" s="51" t="str">
        <f t="shared" si="3"/>
        <v/>
      </c>
      <c r="B257" s="45"/>
      <c r="C257" s="39" t="str">
        <f t="shared" si="1"/>
        <v/>
      </c>
      <c r="D257" s="39" t="str">
        <f t="shared" si="2"/>
        <v/>
      </c>
      <c r="E257" s="45"/>
      <c r="F257" s="45"/>
      <c r="G257" s="45"/>
      <c r="H257" s="52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/>
      <c r="BR257" s="53"/>
      <c r="BS257" s="53"/>
      <c r="BT257" s="53"/>
      <c r="BU257" s="53"/>
      <c r="BV257" s="53"/>
      <c r="BW257" s="53"/>
      <c r="BX257" s="53"/>
      <c r="BY257" s="53"/>
      <c r="BZ257" s="53"/>
      <c r="CA257" s="53"/>
      <c r="CB257" s="53"/>
      <c r="CC257" s="53"/>
      <c r="CD257" s="53"/>
      <c r="CE257" s="53"/>
      <c r="CF257" s="53"/>
      <c r="CG257" s="53"/>
      <c r="CH257" s="53"/>
      <c r="CI257" s="53"/>
      <c r="CJ257" s="53"/>
      <c r="CK257" s="53"/>
      <c r="CL257" s="53"/>
      <c r="CM257" s="53"/>
      <c r="CN257" s="53"/>
      <c r="CO257" s="53"/>
      <c r="CP257" s="53"/>
      <c r="CQ257" s="53"/>
      <c r="CR257" s="53"/>
      <c r="CS257" s="53"/>
      <c r="CT257" s="53"/>
    </row>
    <row r="258" ht="15.0" customHeight="1">
      <c r="A258" s="54" t="str">
        <f t="shared" si="3"/>
        <v/>
      </c>
      <c r="B258" s="48"/>
      <c r="C258" s="55" t="str">
        <f t="shared" si="1"/>
        <v/>
      </c>
      <c r="D258" s="55" t="str">
        <f t="shared" si="2"/>
        <v/>
      </c>
      <c r="E258" s="48"/>
      <c r="F258" s="48"/>
      <c r="G258" s="48"/>
      <c r="H258" s="56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7"/>
      <c r="BZ258" s="57"/>
      <c r="CA258" s="57"/>
      <c r="CB258" s="57"/>
      <c r="CC258" s="57"/>
      <c r="CD258" s="57"/>
      <c r="CE258" s="57"/>
      <c r="CF258" s="57"/>
      <c r="CG258" s="57"/>
      <c r="CH258" s="57"/>
      <c r="CI258" s="57"/>
      <c r="CJ258" s="57"/>
      <c r="CK258" s="57"/>
      <c r="CL258" s="57"/>
      <c r="CM258" s="57"/>
      <c r="CN258" s="57"/>
      <c r="CO258" s="57"/>
      <c r="CP258" s="57"/>
      <c r="CQ258" s="57"/>
      <c r="CR258" s="57"/>
      <c r="CS258" s="57"/>
      <c r="CT258" s="57"/>
    </row>
    <row r="259" ht="15.0" customHeight="1">
      <c r="A259" s="51" t="str">
        <f t="shared" si="3"/>
        <v/>
      </c>
      <c r="B259" s="45"/>
      <c r="C259" s="39" t="str">
        <f t="shared" si="1"/>
        <v/>
      </c>
      <c r="D259" s="39" t="str">
        <f t="shared" si="2"/>
        <v/>
      </c>
      <c r="E259" s="45"/>
      <c r="F259" s="45"/>
      <c r="G259" s="45"/>
      <c r="H259" s="52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53"/>
      <c r="BR259" s="53"/>
      <c r="BS259" s="53"/>
      <c r="BT259" s="53"/>
      <c r="BU259" s="53"/>
      <c r="BV259" s="53"/>
      <c r="BW259" s="53"/>
      <c r="BX259" s="53"/>
      <c r="BY259" s="53"/>
      <c r="BZ259" s="53"/>
      <c r="CA259" s="53"/>
      <c r="CB259" s="53"/>
      <c r="CC259" s="53"/>
      <c r="CD259" s="53"/>
      <c r="CE259" s="53"/>
      <c r="CF259" s="53"/>
      <c r="CG259" s="53"/>
      <c r="CH259" s="53"/>
      <c r="CI259" s="53"/>
      <c r="CJ259" s="53"/>
      <c r="CK259" s="53"/>
      <c r="CL259" s="53"/>
      <c r="CM259" s="53"/>
      <c r="CN259" s="53"/>
      <c r="CO259" s="53"/>
      <c r="CP259" s="53"/>
      <c r="CQ259" s="53"/>
      <c r="CR259" s="53"/>
      <c r="CS259" s="53"/>
      <c r="CT259" s="53"/>
    </row>
    <row r="260" ht="15.0" customHeight="1">
      <c r="A260" s="54" t="str">
        <f t="shared" si="3"/>
        <v/>
      </c>
      <c r="B260" s="48"/>
      <c r="C260" s="55" t="str">
        <f t="shared" si="1"/>
        <v/>
      </c>
      <c r="D260" s="55" t="str">
        <f t="shared" si="2"/>
        <v/>
      </c>
      <c r="E260" s="48"/>
      <c r="F260" s="48"/>
      <c r="G260" s="48"/>
      <c r="H260" s="56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7"/>
      <c r="BZ260" s="57"/>
      <c r="CA260" s="57"/>
      <c r="CB260" s="57"/>
      <c r="CC260" s="57"/>
      <c r="CD260" s="57"/>
      <c r="CE260" s="57"/>
      <c r="CF260" s="57"/>
      <c r="CG260" s="57"/>
      <c r="CH260" s="57"/>
      <c r="CI260" s="57"/>
      <c r="CJ260" s="57"/>
      <c r="CK260" s="57"/>
      <c r="CL260" s="57"/>
      <c r="CM260" s="57"/>
      <c r="CN260" s="57"/>
      <c r="CO260" s="57"/>
      <c r="CP260" s="57"/>
      <c r="CQ260" s="57"/>
      <c r="CR260" s="57"/>
      <c r="CS260" s="57"/>
      <c r="CT260" s="57"/>
    </row>
    <row r="261" ht="15.0" customHeight="1">
      <c r="A261" s="51" t="str">
        <f t="shared" si="3"/>
        <v/>
      </c>
      <c r="B261" s="45"/>
      <c r="C261" s="39" t="str">
        <f t="shared" si="1"/>
        <v/>
      </c>
      <c r="D261" s="39" t="str">
        <f t="shared" si="2"/>
        <v/>
      </c>
      <c r="E261" s="45"/>
      <c r="F261" s="45"/>
      <c r="G261" s="45"/>
      <c r="H261" s="52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/>
      <c r="BR261" s="53"/>
      <c r="BS261" s="53"/>
      <c r="BT261" s="53"/>
      <c r="BU261" s="53"/>
      <c r="BV261" s="53"/>
      <c r="BW261" s="53"/>
      <c r="BX261" s="53"/>
      <c r="BY261" s="53"/>
      <c r="BZ261" s="53"/>
      <c r="CA261" s="53"/>
      <c r="CB261" s="53"/>
      <c r="CC261" s="53"/>
      <c r="CD261" s="53"/>
      <c r="CE261" s="53"/>
      <c r="CF261" s="53"/>
      <c r="CG261" s="53"/>
      <c r="CH261" s="53"/>
      <c r="CI261" s="53"/>
      <c r="CJ261" s="53"/>
      <c r="CK261" s="53"/>
      <c r="CL261" s="53"/>
      <c r="CM261" s="53"/>
      <c r="CN261" s="53"/>
      <c r="CO261" s="53"/>
      <c r="CP261" s="53"/>
      <c r="CQ261" s="53"/>
      <c r="CR261" s="53"/>
      <c r="CS261" s="53"/>
      <c r="CT261" s="53"/>
    </row>
    <row r="262" ht="15.0" customHeight="1">
      <c r="A262" s="54" t="str">
        <f t="shared" si="3"/>
        <v/>
      </c>
      <c r="B262" s="48"/>
      <c r="C262" s="55" t="str">
        <f t="shared" si="1"/>
        <v/>
      </c>
      <c r="D262" s="55" t="str">
        <f t="shared" si="2"/>
        <v/>
      </c>
      <c r="E262" s="48"/>
      <c r="F262" s="48"/>
      <c r="G262" s="48"/>
      <c r="H262" s="56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7"/>
      <c r="BZ262" s="57"/>
      <c r="CA262" s="57"/>
      <c r="CB262" s="57"/>
      <c r="CC262" s="57"/>
      <c r="CD262" s="57"/>
      <c r="CE262" s="57"/>
      <c r="CF262" s="57"/>
      <c r="CG262" s="57"/>
      <c r="CH262" s="57"/>
      <c r="CI262" s="57"/>
      <c r="CJ262" s="57"/>
      <c r="CK262" s="57"/>
      <c r="CL262" s="57"/>
      <c r="CM262" s="57"/>
      <c r="CN262" s="57"/>
      <c r="CO262" s="57"/>
      <c r="CP262" s="57"/>
      <c r="CQ262" s="57"/>
      <c r="CR262" s="57"/>
      <c r="CS262" s="57"/>
      <c r="CT262" s="57"/>
    </row>
    <row r="263" ht="15.0" customHeight="1">
      <c r="A263" s="51" t="str">
        <f t="shared" si="3"/>
        <v/>
      </c>
      <c r="B263" s="45"/>
      <c r="C263" s="39" t="str">
        <f t="shared" si="1"/>
        <v/>
      </c>
      <c r="D263" s="39" t="str">
        <f t="shared" si="2"/>
        <v/>
      </c>
      <c r="E263" s="45"/>
      <c r="F263" s="45"/>
      <c r="G263" s="45"/>
      <c r="H263" s="52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53"/>
      <c r="BP263" s="53"/>
      <c r="BQ263" s="53"/>
      <c r="BR263" s="53"/>
      <c r="BS263" s="53"/>
      <c r="BT263" s="53"/>
      <c r="BU263" s="53"/>
      <c r="BV263" s="53"/>
      <c r="BW263" s="53"/>
      <c r="BX263" s="53"/>
      <c r="BY263" s="53"/>
      <c r="BZ263" s="53"/>
      <c r="CA263" s="53"/>
      <c r="CB263" s="53"/>
      <c r="CC263" s="53"/>
      <c r="CD263" s="53"/>
      <c r="CE263" s="53"/>
      <c r="CF263" s="53"/>
      <c r="CG263" s="53"/>
      <c r="CH263" s="53"/>
      <c r="CI263" s="53"/>
      <c r="CJ263" s="53"/>
      <c r="CK263" s="53"/>
      <c r="CL263" s="53"/>
      <c r="CM263" s="53"/>
      <c r="CN263" s="53"/>
      <c r="CO263" s="53"/>
      <c r="CP263" s="53"/>
      <c r="CQ263" s="53"/>
      <c r="CR263" s="53"/>
      <c r="CS263" s="53"/>
      <c r="CT263" s="53"/>
    </row>
    <row r="264" ht="15.0" customHeight="1">
      <c r="A264" s="54" t="str">
        <f t="shared" si="3"/>
        <v/>
      </c>
      <c r="B264" s="48"/>
      <c r="C264" s="55" t="str">
        <f t="shared" si="1"/>
        <v/>
      </c>
      <c r="D264" s="55" t="str">
        <f t="shared" si="2"/>
        <v/>
      </c>
      <c r="E264" s="48"/>
      <c r="F264" s="48"/>
      <c r="G264" s="48"/>
      <c r="H264" s="56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7"/>
      <c r="BZ264" s="57"/>
      <c r="CA264" s="57"/>
      <c r="CB264" s="57"/>
      <c r="CC264" s="57"/>
      <c r="CD264" s="57"/>
      <c r="CE264" s="57"/>
      <c r="CF264" s="57"/>
      <c r="CG264" s="57"/>
      <c r="CH264" s="57"/>
      <c r="CI264" s="57"/>
      <c r="CJ264" s="57"/>
      <c r="CK264" s="57"/>
      <c r="CL264" s="57"/>
      <c r="CM264" s="57"/>
      <c r="CN264" s="57"/>
      <c r="CO264" s="57"/>
      <c r="CP264" s="57"/>
      <c r="CQ264" s="57"/>
      <c r="CR264" s="57"/>
      <c r="CS264" s="57"/>
      <c r="CT264" s="57"/>
    </row>
    <row r="265" ht="15.0" customHeight="1">
      <c r="A265" s="51" t="str">
        <f t="shared" si="3"/>
        <v/>
      </c>
      <c r="B265" s="45"/>
      <c r="C265" s="39" t="str">
        <f t="shared" si="1"/>
        <v/>
      </c>
      <c r="D265" s="39" t="str">
        <f t="shared" si="2"/>
        <v/>
      </c>
      <c r="E265" s="45"/>
      <c r="F265" s="45"/>
      <c r="G265" s="45"/>
      <c r="H265" s="52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/>
      <c r="BR265" s="53"/>
      <c r="BS265" s="53"/>
      <c r="BT265" s="53"/>
      <c r="BU265" s="53"/>
      <c r="BV265" s="53"/>
      <c r="BW265" s="53"/>
      <c r="BX265" s="53"/>
      <c r="BY265" s="53"/>
      <c r="BZ265" s="53"/>
      <c r="CA265" s="53"/>
      <c r="CB265" s="53"/>
      <c r="CC265" s="53"/>
      <c r="CD265" s="53"/>
      <c r="CE265" s="53"/>
      <c r="CF265" s="53"/>
      <c r="CG265" s="53"/>
      <c r="CH265" s="53"/>
      <c r="CI265" s="53"/>
      <c r="CJ265" s="53"/>
      <c r="CK265" s="53"/>
      <c r="CL265" s="53"/>
      <c r="CM265" s="53"/>
      <c r="CN265" s="53"/>
      <c r="CO265" s="53"/>
      <c r="CP265" s="53"/>
      <c r="CQ265" s="53"/>
      <c r="CR265" s="53"/>
      <c r="CS265" s="53"/>
      <c r="CT265" s="53"/>
    </row>
    <row r="266" ht="15.0" customHeight="1">
      <c r="A266" s="54" t="str">
        <f t="shared" si="3"/>
        <v/>
      </c>
      <c r="B266" s="48"/>
      <c r="C266" s="55" t="str">
        <f t="shared" si="1"/>
        <v/>
      </c>
      <c r="D266" s="55" t="str">
        <f t="shared" si="2"/>
        <v/>
      </c>
      <c r="E266" s="48"/>
      <c r="F266" s="48"/>
      <c r="G266" s="48"/>
      <c r="H266" s="56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7"/>
      <c r="BZ266" s="57"/>
      <c r="CA266" s="57"/>
      <c r="CB266" s="57"/>
      <c r="CC266" s="57"/>
      <c r="CD266" s="57"/>
      <c r="CE266" s="57"/>
      <c r="CF266" s="57"/>
      <c r="CG266" s="57"/>
      <c r="CH266" s="57"/>
      <c r="CI266" s="57"/>
      <c r="CJ266" s="57"/>
      <c r="CK266" s="57"/>
      <c r="CL266" s="57"/>
      <c r="CM266" s="57"/>
      <c r="CN266" s="57"/>
      <c r="CO266" s="57"/>
      <c r="CP266" s="57"/>
      <c r="CQ266" s="57"/>
      <c r="CR266" s="57"/>
      <c r="CS266" s="57"/>
      <c r="CT266" s="57"/>
    </row>
    <row r="267" ht="15.0" customHeight="1">
      <c r="A267" s="51" t="str">
        <f t="shared" si="3"/>
        <v/>
      </c>
      <c r="B267" s="45"/>
      <c r="C267" s="39" t="str">
        <f t="shared" si="1"/>
        <v/>
      </c>
      <c r="D267" s="39" t="str">
        <f t="shared" si="2"/>
        <v/>
      </c>
      <c r="E267" s="45"/>
      <c r="F267" s="45"/>
      <c r="G267" s="45"/>
      <c r="H267" s="52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/>
      <c r="BR267" s="53"/>
      <c r="BS267" s="53"/>
      <c r="BT267" s="53"/>
      <c r="BU267" s="53"/>
      <c r="BV267" s="53"/>
      <c r="BW267" s="53"/>
      <c r="BX267" s="53"/>
      <c r="BY267" s="53"/>
      <c r="BZ267" s="53"/>
      <c r="CA267" s="53"/>
      <c r="CB267" s="53"/>
      <c r="CC267" s="53"/>
      <c r="CD267" s="53"/>
      <c r="CE267" s="53"/>
      <c r="CF267" s="53"/>
      <c r="CG267" s="53"/>
      <c r="CH267" s="53"/>
      <c r="CI267" s="53"/>
      <c r="CJ267" s="53"/>
      <c r="CK267" s="53"/>
      <c r="CL267" s="53"/>
      <c r="CM267" s="53"/>
      <c r="CN267" s="53"/>
      <c r="CO267" s="53"/>
      <c r="CP267" s="53"/>
      <c r="CQ267" s="53"/>
      <c r="CR267" s="53"/>
      <c r="CS267" s="53"/>
      <c r="CT267" s="53"/>
    </row>
    <row r="268" ht="15.0" customHeight="1">
      <c r="A268" s="54" t="str">
        <f t="shared" si="3"/>
        <v/>
      </c>
      <c r="B268" s="48"/>
      <c r="C268" s="55" t="str">
        <f t="shared" si="1"/>
        <v/>
      </c>
      <c r="D268" s="55" t="str">
        <f t="shared" si="2"/>
        <v/>
      </c>
      <c r="E268" s="48"/>
      <c r="F268" s="48"/>
      <c r="G268" s="48"/>
      <c r="H268" s="56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7"/>
      <c r="BZ268" s="57"/>
      <c r="CA268" s="57"/>
      <c r="CB268" s="57"/>
      <c r="CC268" s="57"/>
      <c r="CD268" s="57"/>
      <c r="CE268" s="57"/>
      <c r="CF268" s="57"/>
      <c r="CG268" s="57"/>
      <c r="CH268" s="57"/>
      <c r="CI268" s="57"/>
      <c r="CJ268" s="57"/>
      <c r="CK268" s="57"/>
      <c r="CL268" s="57"/>
      <c r="CM268" s="57"/>
      <c r="CN268" s="57"/>
      <c r="CO268" s="57"/>
      <c r="CP268" s="57"/>
      <c r="CQ268" s="57"/>
      <c r="CR268" s="57"/>
      <c r="CS268" s="57"/>
      <c r="CT268" s="57"/>
    </row>
    <row r="269" ht="15.0" customHeight="1">
      <c r="A269" s="51" t="str">
        <f t="shared" si="3"/>
        <v/>
      </c>
      <c r="B269" s="45"/>
      <c r="C269" s="39" t="str">
        <f t="shared" si="1"/>
        <v/>
      </c>
      <c r="D269" s="39" t="str">
        <f t="shared" si="2"/>
        <v/>
      </c>
      <c r="E269" s="45"/>
      <c r="F269" s="45"/>
      <c r="G269" s="45"/>
      <c r="H269" s="52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3"/>
      <c r="BN269" s="53"/>
      <c r="BO269" s="53"/>
      <c r="BP269" s="53"/>
      <c r="BQ269" s="53"/>
      <c r="BR269" s="53"/>
      <c r="BS269" s="53"/>
      <c r="BT269" s="53"/>
      <c r="BU269" s="53"/>
      <c r="BV269" s="53"/>
      <c r="BW269" s="53"/>
      <c r="BX269" s="53"/>
      <c r="BY269" s="53"/>
      <c r="BZ269" s="53"/>
      <c r="CA269" s="53"/>
      <c r="CB269" s="53"/>
      <c r="CC269" s="53"/>
      <c r="CD269" s="53"/>
      <c r="CE269" s="53"/>
      <c r="CF269" s="53"/>
      <c r="CG269" s="53"/>
      <c r="CH269" s="53"/>
      <c r="CI269" s="53"/>
      <c r="CJ269" s="53"/>
      <c r="CK269" s="53"/>
      <c r="CL269" s="53"/>
      <c r="CM269" s="53"/>
      <c r="CN269" s="53"/>
      <c r="CO269" s="53"/>
      <c r="CP269" s="53"/>
      <c r="CQ269" s="53"/>
      <c r="CR269" s="53"/>
      <c r="CS269" s="53"/>
      <c r="CT269" s="53"/>
    </row>
    <row r="270" ht="15.0" customHeight="1">
      <c r="A270" s="54" t="str">
        <f t="shared" si="3"/>
        <v/>
      </c>
      <c r="B270" s="48"/>
      <c r="C270" s="55" t="str">
        <f t="shared" si="1"/>
        <v/>
      </c>
      <c r="D270" s="55" t="str">
        <f t="shared" si="2"/>
        <v/>
      </c>
      <c r="E270" s="48"/>
      <c r="F270" s="48"/>
      <c r="G270" s="48"/>
      <c r="H270" s="56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  <c r="BV270" s="57"/>
      <c r="BW270" s="57"/>
      <c r="BX270" s="57"/>
      <c r="BY270" s="57"/>
      <c r="BZ270" s="57"/>
      <c r="CA270" s="57"/>
      <c r="CB270" s="57"/>
      <c r="CC270" s="57"/>
      <c r="CD270" s="57"/>
      <c r="CE270" s="57"/>
      <c r="CF270" s="57"/>
      <c r="CG270" s="57"/>
      <c r="CH270" s="57"/>
      <c r="CI270" s="57"/>
      <c r="CJ270" s="57"/>
      <c r="CK270" s="57"/>
      <c r="CL270" s="57"/>
      <c r="CM270" s="57"/>
      <c r="CN270" s="57"/>
      <c r="CO270" s="57"/>
      <c r="CP270" s="57"/>
      <c r="CQ270" s="57"/>
      <c r="CR270" s="57"/>
      <c r="CS270" s="57"/>
      <c r="CT270" s="57"/>
    </row>
    <row r="271" ht="15.0" customHeight="1">
      <c r="A271" s="51" t="str">
        <f t="shared" si="3"/>
        <v/>
      </c>
      <c r="B271" s="45"/>
      <c r="C271" s="39" t="str">
        <f t="shared" si="1"/>
        <v/>
      </c>
      <c r="D271" s="39" t="str">
        <f t="shared" si="2"/>
        <v/>
      </c>
      <c r="E271" s="45"/>
      <c r="F271" s="45"/>
      <c r="G271" s="45"/>
      <c r="H271" s="52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/>
      <c r="BR271" s="53"/>
      <c r="BS271" s="53"/>
      <c r="BT271" s="53"/>
      <c r="BU271" s="53"/>
      <c r="BV271" s="53"/>
      <c r="BW271" s="53"/>
      <c r="BX271" s="53"/>
      <c r="BY271" s="53"/>
      <c r="BZ271" s="53"/>
      <c r="CA271" s="53"/>
      <c r="CB271" s="53"/>
      <c r="CC271" s="53"/>
      <c r="CD271" s="53"/>
      <c r="CE271" s="53"/>
      <c r="CF271" s="53"/>
      <c r="CG271" s="53"/>
      <c r="CH271" s="53"/>
      <c r="CI271" s="53"/>
      <c r="CJ271" s="53"/>
      <c r="CK271" s="53"/>
      <c r="CL271" s="53"/>
      <c r="CM271" s="53"/>
      <c r="CN271" s="53"/>
      <c r="CO271" s="53"/>
      <c r="CP271" s="53"/>
      <c r="CQ271" s="53"/>
      <c r="CR271" s="53"/>
      <c r="CS271" s="53"/>
      <c r="CT271" s="53"/>
    </row>
    <row r="272" ht="15.0" customHeight="1">
      <c r="A272" s="54" t="str">
        <f t="shared" si="3"/>
        <v/>
      </c>
      <c r="B272" s="48"/>
      <c r="C272" s="55" t="str">
        <f t="shared" si="1"/>
        <v/>
      </c>
      <c r="D272" s="55" t="str">
        <f t="shared" si="2"/>
        <v/>
      </c>
      <c r="E272" s="48"/>
      <c r="F272" s="48"/>
      <c r="G272" s="48"/>
      <c r="H272" s="56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7"/>
      <c r="BZ272" s="57"/>
      <c r="CA272" s="57"/>
      <c r="CB272" s="57"/>
      <c r="CC272" s="57"/>
      <c r="CD272" s="57"/>
      <c r="CE272" s="57"/>
      <c r="CF272" s="57"/>
      <c r="CG272" s="57"/>
      <c r="CH272" s="57"/>
      <c r="CI272" s="57"/>
      <c r="CJ272" s="57"/>
      <c r="CK272" s="57"/>
      <c r="CL272" s="57"/>
      <c r="CM272" s="57"/>
      <c r="CN272" s="57"/>
      <c r="CO272" s="57"/>
      <c r="CP272" s="57"/>
      <c r="CQ272" s="57"/>
      <c r="CR272" s="57"/>
      <c r="CS272" s="57"/>
      <c r="CT272" s="57"/>
    </row>
    <row r="273" ht="15.0" customHeight="1">
      <c r="A273" s="51" t="str">
        <f t="shared" si="3"/>
        <v/>
      </c>
      <c r="B273" s="45"/>
      <c r="C273" s="39" t="str">
        <f t="shared" si="1"/>
        <v/>
      </c>
      <c r="D273" s="39" t="str">
        <f t="shared" si="2"/>
        <v/>
      </c>
      <c r="E273" s="45"/>
      <c r="F273" s="45"/>
      <c r="G273" s="45"/>
      <c r="H273" s="52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53"/>
      <c r="BW273" s="53"/>
      <c r="BX273" s="53"/>
      <c r="BY273" s="53"/>
      <c r="BZ273" s="53"/>
      <c r="CA273" s="53"/>
      <c r="CB273" s="53"/>
      <c r="CC273" s="53"/>
      <c r="CD273" s="53"/>
      <c r="CE273" s="53"/>
      <c r="CF273" s="53"/>
      <c r="CG273" s="53"/>
      <c r="CH273" s="53"/>
      <c r="CI273" s="53"/>
      <c r="CJ273" s="53"/>
      <c r="CK273" s="53"/>
      <c r="CL273" s="53"/>
      <c r="CM273" s="53"/>
      <c r="CN273" s="53"/>
      <c r="CO273" s="53"/>
      <c r="CP273" s="53"/>
      <c r="CQ273" s="53"/>
      <c r="CR273" s="53"/>
      <c r="CS273" s="53"/>
      <c r="CT273" s="53"/>
    </row>
    <row r="274" ht="15.0" customHeight="1">
      <c r="A274" s="54" t="str">
        <f t="shared" si="3"/>
        <v/>
      </c>
      <c r="B274" s="48"/>
      <c r="C274" s="55" t="str">
        <f t="shared" si="1"/>
        <v/>
      </c>
      <c r="D274" s="55" t="str">
        <f t="shared" si="2"/>
        <v/>
      </c>
      <c r="E274" s="48"/>
      <c r="F274" s="48"/>
      <c r="G274" s="48"/>
      <c r="H274" s="56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7"/>
      <c r="BZ274" s="57"/>
      <c r="CA274" s="57"/>
      <c r="CB274" s="57"/>
      <c r="CC274" s="57"/>
      <c r="CD274" s="57"/>
      <c r="CE274" s="57"/>
      <c r="CF274" s="57"/>
      <c r="CG274" s="57"/>
      <c r="CH274" s="57"/>
      <c r="CI274" s="57"/>
      <c r="CJ274" s="57"/>
      <c r="CK274" s="57"/>
      <c r="CL274" s="57"/>
      <c r="CM274" s="57"/>
      <c r="CN274" s="57"/>
      <c r="CO274" s="57"/>
      <c r="CP274" s="57"/>
      <c r="CQ274" s="57"/>
      <c r="CR274" s="57"/>
      <c r="CS274" s="57"/>
      <c r="CT274" s="57"/>
    </row>
    <row r="275" ht="15.0" customHeight="1">
      <c r="A275" s="51" t="str">
        <f t="shared" si="3"/>
        <v/>
      </c>
      <c r="B275" s="45"/>
      <c r="C275" s="39" t="str">
        <f t="shared" si="1"/>
        <v/>
      </c>
      <c r="D275" s="39" t="str">
        <f t="shared" si="2"/>
        <v/>
      </c>
      <c r="E275" s="45"/>
      <c r="F275" s="45"/>
      <c r="G275" s="45"/>
      <c r="H275" s="52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/>
      <c r="BR275" s="53"/>
      <c r="BS275" s="53"/>
      <c r="BT275" s="53"/>
      <c r="BU275" s="53"/>
      <c r="BV275" s="53"/>
      <c r="BW275" s="53"/>
      <c r="BX275" s="53"/>
      <c r="BY275" s="53"/>
      <c r="BZ275" s="53"/>
      <c r="CA275" s="53"/>
      <c r="CB275" s="53"/>
      <c r="CC275" s="53"/>
      <c r="CD275" s="53"/>
      <c r="CE275" s="53"/>
      <c r="CF275" s="53"/>
      <c r="CG275" s="53"/>
      <c r="CH275" s="53"/>
      <c r="CI275" s="53"/>
      <c r="CJ275" s="53"/>
      <c r="CK275" s="53"/>
      <c r="CL275" s="53"/>
      <c r="CM275" s="53"/>
      <c r="CN275" s="53"/>
      <c r="CO275" s="53"/>
      <c r="CP275" s="53"/>
      <c r="CQ275" s="53"/>
      <c r="CR275" s="53"/>
      <c r="CS275" s="53"/>
      <c r="CT275" s="53"/>
    </row>
    <row r="276" ht="15.0" customHeight="1">
      <c r="A276" s="54" t="str">
        <f t="shared" si="3"/>
        <v/>
      </c>
      <c r="B276" s="48"/>
      <c r="C276" s="55" t="str">
        <f t="shared" si="1"/>
        <v/>
      </c>
      <c r="D276" s="55" t="str">
        <f t="shared" si="2"/>
        <v/>
      </c>
      <c r="E276" s="48"/>
      <c r="F276" s="48"/>
      <c r="G276" s="48"/>
      <c r="H276" s="56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7"/>
      <c r="BZ276" s="57"/>
      <c r="CA276" s="57"/>
      <c r="CB276" s="57"/>
      <c r="CC276" s="57"/>
      <c r="CD276" s="57"/>
      <c r="CE276" s="57"/>
      <c r="CF276" s="57"/>
      <c r="CG276" s="57"/>
      <c r="CH276" s="57"/>
      <c r="CI276" s="57"/>
      <c r="CJ276" s="57"/>
      <c r="CK276" s="57"/>
      <c r="CL276" s="57"/>
      <c r="CM276" s="57"/>
      <c r="CN276" s="57"/>
      <c r="CO276" s="57"/>
      <c r="CP276" s="57"/>
      <c r="CQ276" s="57"/>
      <c r="CR276" s="57"/>
      <c r="CS276" s="57"/>
      <c r="CT276" s="57"/>
    </row>
    <row r="277" ht="15.0" customHeight="1">
      <c r="A277" s="51" t="str">
        <f t="shared" si="3"/>
        <v/>
      </c>
      <c r="B277" s="45"/>
      <c r="C277" s="39" t="str">
        <f t="shared" si="1"/>
        <v/>
      </c>
      <c r="D277" s="39" t="str">
        <f t="shared" si="2"/>
        <v/>
      </c>
      <c r="E277" s="45"/>
      <c r="F277" s="45"/>
      <c r="G277" s="45"/>
      <c r="H277" s="52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53"/>
      <c r="BW277" s="53"/>
      <c r="BX277" s="53"/>
      <c r="BY277" s="53"/>
      <c r="BZ277" s="53"/>
      <c r="CA277" s="53"/>
      <c r="CB277" s="53"/>
      <c r="CC277" s="53"/>
      <c r="CD277" s="53"/>
      <c r="CE277" s="53"/>
      <c r="CF277" s="53"/>
      <c r="CG277" s="53"/>
      <c r="CH277" s="53"/>
      <c r="CI277" s="53"/>
      <c r="CJ277" s="53"/>
      <c r="CK277" s="53"/>
      <c r="CL277" s="53"/>
      <c r="CM277" s="53"/>
      <c r="CN277" s="53"/>
      <c r="CO277" s="53"/>
      <c r="CP277" s="53"/>
      <c r="CQ277" s="53"/>
      <c r="CR277" s="53"/>
      <c r="CS277" s="53"/>
      <c r="CT277" s="53"/>
    </row>
    <row r="278" ht="15.0" customHeight="1">
      <c r="A278" s="54" t="str">
        <f t="shared" si="3"/>
        <v/>
      </c>
      <c r="B278" s="48"/>
      <c r="C278" s="55" t="str">
        <f t="shared" si="1"/>
        <v/>
      </c>
      <c r="D278" s="55" t="str">
        <f t="shared" si="2"/>
        <v/>
      </c>
      <c r="E278" s="48"/>
      <c r="F278" s="48"/>
      <c r="G278" s="48"/>
      <c r="H278" s="56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7"/>
      <c r="BZ278" s="57"/>
      <c r="CA278" s="57"/>
      <c r="CB278" s="57"/>
      <c r="CC278" s="57"/>
      <c r="CD278" s="57"/>
      <c r="CE278" s="57"/>
      <c r="CF278" s="57"/>
      <c r="CG278" s="57"/>
      <c r="CH278" s="57"/>
      <c r="CI278" s="57"/>
      <c r="CJ278" s="57"/>
      <c r="CK278" s="57"/>
      <c r="CL278" s="57"/>
      <c r="CM278" s="57"/>
      <c r="CN278" s="57"/>
      <c r="CO278" s="57"/>
      <c r="CP278" s="57"/>
      <c r="CQ278" s="57"/>
      <c r="CR278" s="57"/>
      <c r="CS278" s="57"/>
      <c r="CT278" s="57"/>
    </row>
    <row r="279" ht="15.0" customHeight="1">
      <c r="A279" s="51" t="str">
        <f t="shared" si="3"/>
        <v/>
      </c>
      <c r="B279" s="45"/>
      <c r="C279" s="39" t="str">
        <f t="shared" si="1"/>
        <v/>
      </c>
      <c r="D279" s="39" t="str">
        <f t="shared" si="2"/>
        <v/>
      </c>
      <c r="E279" s="45"/>
      <c r="F279" s="45"/>
      <c r="G279" s="45"/>
      <c r="H279" s="52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53"/>
      <c r="BW279" s="53"/>
      <c r="BX279" s="53"/>
      <c r="BY279" s="53"/>
      <c r="BZ279" s="53"/>
      <c r="CA279" s="53"/>
      <c r="CB279" s="53"/>
      <c r="CC279" s="53"/>
      <c r="CD279" s="53"/>
      <c r="CE279" s="53"/>
      <c r="CF279" s="53"/>
      <c r="CG279" s="53"/>
      <c r="CH279" s="53"/>
      <c r="CI279" s="53"/>
      <c r="CJ279" s="53"/>
      <c r="CK279" s="53"/>
      <c r="CL279" s="53"/>
      <c r="CM279" s="53"/>
      <c r="CN279" s="53"/>
      <c r="CO279" s="53"/>
      <c r="CP279" s="53"/>
      <c r="CQ279" s="53"/>
      <c r="CR279" s="53"/>
      <c r="CS279" s="53"/>
      <c r="CT279" s="53"/>
    </row>
    <row r="280" ht="15.0" customHeight="1">
      <c r="A280" s="54" t="str">
        <f t="shared" si="3"/>
        <v/>
      </c>
      <c r="B280" s="48"/>
      <c r="C280" s="55" t="str">
        <f t="shared" si="1"/>
        <v/>
      </c>
      <c r="D280" s="55" t="str">
        <f t="shared" si="2"/>
        <v/>
      </c>
      <c r="E280" s="48"/>
      <c r="F280" s="48"/>
      <c r="G280" s="48"/>
      <c r="H280" s="56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/>
      <c r="BS280" s="57"/>
      <c r="BT280" s="57"/>
      <c r="BU280" s="57"/>
      <c r="BV280" s="57"/>
      <c r="BW280" s="57"/>
      <c r="BX280" s="57"/>
      <c r="BY280" s="57"/>
      <c r="BZ280" s="57"/>
      <c r="CA280" s="57"/>
      <c r="CB280" s="57"/>
      <c r="CC280" s="57"/>
      <c r="CD280" s="57"/>
      <c r="CE280" s="57"/>
      <c r="CF280" s="57"/>
      <c r="CG280" s="57"/>
      <c r="CH280" s="57"/>
      <c r="CI280" s="57"/>
      <c r="CJ280" s="57"/>
      <c r="CK280" s="57"/>
      <c r="CL280" s="57"/>
      <c r="CM280" s="57"/>
      <c r="CN280" s="57"/>
      <c r="CO280" s="57"/>
      <c r="CP280" s="57"/>
      <c r="CQ280" s="57"/>
      <c r="CR280" s="57"/>
      <c r="CS280" s="57"/>
      <c r="CT280" s="57"/>
    </row>
    <row r="281" ht="15.0" customHeight="1">
      <c r="A281" s="51" t="str">
        <f t="shared" si="3"/>
        <v/>
      </c>
      <c r="B281" s="45"/>
      <c r="C281" s="39" t="str">
        <f t="shared" si="1"/>
        <v/>
      </c>
      <c r="D281" s="39" t="str">
        <f t="shared" si="2"/>
        <v/>
      </c>
      <c r="E281" s="45"/>
      <c r="F281" s="45"/>
      <c r="G281" s="45"/>
      <c r="H281" s="52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53"/>
      <c r="BW281" s="53"/>
      <c r="BX281" s="53"/>
      <c r="BY281" s="53"/>
      <c r="BZ281" s="53"/>
      <c r="CA281" s="53"/>
      <c r="CB281" s="53"/>
      <c r="CC281" s="53"/>
      <c r="CD281" s="53"/>
      <c r="CE281" s="53"/>
      <c r="CF281" s="53"/>
      <c r="CG281" s="53"/>
      <c r="CH281" s="53"/>
      <c r="CI281" s="53"/>
      <c r="CJ281" s="53"/>
      <c r="CK281" s="53"/>
      <c r="CL281" s="53"/>
      <c r="CM281" s="53"/>
      <c r="CN281" s="53"/>
      <c r="CO281" s="53"/>
      <c r="CP281" s="53"/>
      <c r="CQ281" s="53"/>
      <c r="CR281" s="53"/>
      <c r="CS281" s="53"/>
      <c r="CT281" s="53"/>
    </row>
    <row r="282" ht="15.0" customHeight="1">
      <c r="A282" s="54" t="str">
        <f t="shared" si="3"/>
        <v/>
      </c>
      <c r="B282" s="48"/>
      <c r="C282" s="55" t="str">
        <f t="shared" si="1"/>
        <v/>
      </c>
      <c r="D282" s="55" t="str">
        <f t="shared" si="2"/>
        <v/>
      </c>
      <c r="E282" s="48"/>
      <c r="F282" s="48"/>
      <c r="G282" s="48"/>
      <c r="H282" s="56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  <c r="BV282" s="57"/>
      <c r="BW282" s="57"/>
      <c r="BX282" s="57"/>
      <c r="BY282" s="57"/>
      <c r="BZ282" s="57"/>
      <c r="CA282" s="57"/>
      <c r="CB282" s="57"/>
      <c r="CC282" s="57"/>
      <c r="CD282" s="57"/>
      <c r="CE282" s="57"/>
      <c r="CF282" s="57"/>
      <c r="CG282" s="57"/>
      <c r="CH282" s="57"/>
      <c r="CI282" s="57"/>
      <c r="CJ282" s="57"/>
      <c r="CK282" s="57"/>
      <c r="CL282" s="57"/>
      <c r="CM282" s="57"/>
      <c r="CN282" s="57"/>
      <c r="CO282" s="57"/>
      <c r="CP282" s="57"/>
      <c r="CQ282" s="57"/>
      <c r="CR282" s="57"/>
      <c r="CS282" s="57"/>
      <c r="CT282" s="57"/>
    </row>
    <row r="283" ht="15.0" customHeight="1">
      <c r="A283" s="51" t="str">
        <f t="shared" si="3"/>
        <v/>
      </c>
      <c r="B283" s="45"/>
      <c r="C283" s="39" t="str">
        <f t="shared" si="1"/>
        <v/>
      </c>
      <c r="D283" s="39" t="str">
        <f t="shared" si="2"/>
        <v/>
      </c>
      <c r="E283" s="45"/>
      <c r="F283" s="45"/>
      <c r="G283" s="45"/>
      <c r="H283" s="52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/>
      <c r="BR283" s="53"/>
      <c r="BS283" s="53"/>
      <c r="BT283" s="53"/>
      <c r="BU283" s="53"/>
      <c r="BV283" s="53"/>
      <c r="BW283" s="53"/>
      <c r="BX283" s="53"/>
      <c r="BY283" s="53"/>
      <c r="BZ283" s="53"/>
      <c r="CA283" s="53"/>
      <c r="CB283" s="53"/>
      <c r="CC283" s="53"/>
      <c r="CD283" s="53"/>
      <c r="CE283" s="53"/>
      <c r="CF283" s="53"/>
      <c r="CG283" s="53"/>
      <c r="CH283" s="53"/>
      <c r="CI283" s="53"/>
      <c r="CJ283" s="53"/>
      <c r="CK283" s="53"/>
      <c r="CL283" s="53"/>
      <c r="CM283" s="53"/>
      <c r="CN283" s="53"/>
      <c r="CO283" s="53"/>
      <c r="CP283" s="53"/>
      <c r="CQ283" s="53"/>
      <c r="CR283" s="53"/>
      <c r="CS283" s="53"/>
      <c r="CT283" s="53"/>
    </row>
    <row r="284" ht="15.0" customHeight="1">
      <c r="A284" s="54" t="str">
        <f t="shared" si="3"/>
        <v/>
      </c>
      <c r="B284" s="48"/>
      <c r="C284" s="55" t="str">
        <f t="shared" si="1"/>
        <v/>
      </c>
      <c r="D284" s="55" t="str">
        <f t="shared" si="2"/>
        <v/>
      </c>
      <c r="E284" s="48"/>
      <c r="F284" s="48"/>
      <c r="G284" s="48"/>
      <c r="H284" s="56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7"/>
      <c r="BZ284" s="57"/>
      <c r="CA284" s="57"/>
      <c r="CB284" s="57"/>
      <c r="CC284" s="57"/>
      <c r="CD284" s="57"/>
      <c r="CE284" s="57"/>
      <c r="CF284" s="57"/>
      <c r="CG284" s="57"/>
      <c r="CH284" s="57"/>
      <c r="CI284" s="57"/>
      <c r="CJ284" s="57"/>
      <c r="CK284" s="57"/>
      <c r="CL284" s="57"/>
      <c r="CM284" s="57"/>
      <c r="CN284" s="57"/>
      <c r="CO284" s="57"/>
      <c r="CP284" s="57"/>
      <c r="CQ284" s="57"/>
      <c r="CR284" s="57"/>
      <c r="CS284" s="57"/>
      <c r="CT284" s="57"/>
    </row>
    <row r="285" ht="15.0" customHeight="1">
      <c r="A285" s="51" t="str">
        <f t="shared" si="3"/>
        <v/>
      </c>
      <c r="B285" s="45"/>
      <c r="C285" s="39" t="str">
        <f t="shared" si="1"/>
        <v/>
      </c>
      <c r="D285" s="39" t="str">
        <f t="shared" si="2"/>
        <v/>
      </c>
      <c r="E285" s="45"/>
      <c r="F285" s="45"/>
      <c r="G285" s="45"/>
      <c r="H285" s="52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/>
      <c r="BR285" s="53"/>
      <c r="BS285" s="53"/>
      <c r="BT285" s="53"/>
      <c r="BU285" s="53"/>
      <c r="BV285" s="53"/>
      <c r="BW285" s="53"/>
      <c r="BX285" s="53"/>
      <c r="BY285" s="53"/>
      <c r="BZ285" s="53"/>
      <c r="CA285" s="53"/>
      <c r="CB285" s="53"/>
      <c r="CC285" s="53"/>
      <c r="CD285" s="53"/>
      <c r="CE285" s="53"/>
      <c r="CF285" s="53"/>
      <c r="CG285" s="53"/>
      <c r="CH285" s="53"/>
      <c r="CI285" s="53"/>
      <c r="CJ285" s="53"/>
      <c r="CK285" s="53"/>
      <c r="CL285" s="53"/>
      <c r="CM285" s="53"/>
      <c r="CN285" s="53"/>
      <c r="CO285" s="53"/>
      <c r="CP285" s="53"/>
      <c r="CQ285" s="53"/>
      <c r="CR285" s="53"/>
      <c r="CS285" s="53"/>
      <c r="CT285" s="53"/>
    </row>
    <row r="286" ht="15.0" customHeight="1">
      <c r="A286" s="54" t="str">
        <f t="shared" si="3"/>
        <v/>
      </c>
      <c r="B286" s="48"/>
      <c r="C286" s="55" t="str">
        <f t="shared" si="1"/>
        <v/>
      </c>
      <c r="D286" s="55" t="str">
        <f t="shared" si="2"/>
        <v/>
      </c>
      <c r="E286" s="48"/>
      <c r="F286" s="48"/>
      <c r="G286" s="48"/>
      <c r="H286" s="56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  <c r="BV286" s="57"/>
      <c r="BW286" s="57"/>
      <c r="BX286" s="57"/>
      <c r="BY286" s="57"/>
      <c r="BZ286" s="57"/>
      <c r="CA286" s="57"/>
      <c r="CB286" s="57"/>
      <c r="CC286" s="57"/>
      <c r="CD286" s="57"/>
      <c r="CE286" s="57"/>
      <c r="CF286" s="57"/>
      <c r="CG286" s="57"/>
      <c r="CH286" s="57"/>
      <c r="CI286" s="57"/>
      <c r="CJ286" s="57"/>
      <c r="CK286" s="57"/>
      <c r="CL286" s="57"/>
      <c r="CM286" s="57"/>
      <c r="CN286" s="57"/>
      <c r="CO286" s="57"/>
      <c r="CP286" s="57"/>
      <c r="CQ286" s="57"/>
      <c r="CR286" s="57"/>
      <c r="CS286" s="57"/>
      <c r="CT286" s="57"/>
    </row>
    <row r="287" ht="15.0" customHeight="1">
      <c r="A287" s="51" t="str">
        <f t="shared" si="3"/>
        <v/>
      </c>
      <c r="B287" s="45"/>
      <c r="C287" s="39" t="str">
        <f t="shared" si="1"/>
        <v/>
      </c>
      <c r="D287" s="39" t="str">
        <f t="shared" si="2"/>
        <v/>
      </c>
      <c r="E287" s="45"/>
      <c r="F287" s="45"/>
      <c r="G287" s="45"/>
      <c r="H287" s="52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  <c r="BV287" s="53"/>
      <c r="BW287" s="53"/>
      <c r="BX287" s="53"/>
      <c r="BY287" s="53"/>
      <c r="BZ287" s="53"/>
      <c r="CA287" s="53"/>
      <c r="CB287" s="53"/>
      <c r="CC287" s="53"/>
      <c r="CD287" s="53"/>
      <c r="CE287" s="53"/>
      <c r="CF287" s="53"/>
      <c r="CG287" s="53"/>
      <c r="CH287" s="53"/>
      <c r="CI287" s="53"/>
      <c r="CJ287" s="53"/>
      <c r="CK287" s="53"/>
      <c r="CL287" s="53"/>
      <c r="CM287" s="53"/>
      <c r="CN287" s="53"/>
      <c r="CO287" s="53"/>
      <c r="CP287" s="53"/>
      <c r="CQ287" s="53"/>
      <c r="CR287" s="53"/>
      <c r="CS287" s="53"/>
      <c r="CT287" s="53"/>
    </row>
    <row r="288" ht="15.0" customHeight="1">
      <c r="A288" s="54" t="str">
        <f t="shared" si="3"/>
        <v/>
      </c>
      <c r="B288" s="48"/>
      <c r="C288" s="55" t="str">
        <f t="shared" si="1"/>
        <v/>
      </c>
      <c r="D288" s="55" t="str">
        <f t="shared" si="2"/>
        <v/>
      </c>
      <c r="E288" s="48"/>
      <c r="F288" s="48"/>
      <c r="G288" s="48"/>
      <c r="H288" s="56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7"/>
      <c r="BZ288" s="57"/>
      <c r="CA288" s="57"/>
      <c r="CB288" s="57"/>
      <c r="CC288" s="57"/>
      <c r="CD288" s="57"/>
      <c r="CE288" s="57"/>
      <c r="CF288" s="57"/>
      <c r="CG288" s="57"/>
      <c r="CH288" s="57"/>
      <c r="CI288" s="57"/>
      <c r="CJ288" s="57"/>
      <c r="CK288" s="57"/>
      <c r="CL288" s="57"/>
      <c r="CM288" s="57"/>
      <c r="CN288" s="57"/>
      <c r="CO288" s="57"/>
      <c r="CP288" s="57"/>
      <c r="CQ288" s="57"/>
      <c r="CR288" s="57"/>
      <c r="CS288" s="57"/>
      <c r="CT288" s="57"/>
    </row>
    <row r="289" ht="15.0" customHeight="1">
      <c r="A289" s="51" t="str">
        <f t="shared" si="3"/>
        <v/>
      </c>
      <c r="B289" s="45"/>
      <c r="C289" s="39" t="str">
        <f t="shared" si="1"/>
        <v/>
      </c>
      <c r="D289" s="39" t="str">
        <f t="shared" si="2"/>
        <v/>
      </c>
      <c r="E289" s="45"/>
      <c r="F289" s="45"/>
      <c r="G289" s="45"/>
      <c r="H289" s="52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  <c r="CD289" s="53"/>
      <c r="CE289" s="53"/>
      <c r="CF289" s="53"/>
      <c r="CG289" s="53"/>
      <c r="CH289" s="53"/>
      <c r="CI289" s="53"/>
      <c r="CJ289" s="53"/>
      <c r="CK289" s="53"/>
      <c r="CL289" s="53"/>
      <c r="CM289" s="53"/>
      <c r="CN289" s="53"/>
      <c r="CO289" s="53"/>
      <c r="CP289" s="53"/>
      <c r="CQ289" s="53"/>
      <c r="CR289" s="53"/>
      <c r="CS289" s="53"/>
      <c r="CT289" s="53"/>
    </row>
    <row r="290" ht="15.0" customHeight="1">
      <c r="A290" s="54" t="str">
        <f t="shared" si="3"/>
        <v/>
      </c>
      <c r="B290" s="48"/>
      <c r="C290" s="55" t="str">
        <f t="shared" si="1"/>
        <v/>
      </c>
      <c r="D290" s="55" t="str">
        <f t="shared" si="2"/>
        <v/>
      </c>
      <c r="E290" s="48"/>
      <c r="F290" s="48"/>
      <c r="G290" s="48"/>
      <c r="H290" s="56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7"/>
      <c r="BZ290" s="57"/>
      <c r="CA290" s="57"/>
      <c r="CB290" s="57"/>
      <c r="CC290" s="57"/>
      <c r="CD290" s="57"/>
      <c r="CE290" s="57"/>
      <c r="CF290" s="57"/>
      <c r="CG290" s="57"/>
      <c r="CH290" s="57"/>
      <c r="CI290" s="57"/>
      <c r="CJ290" s="57"/>
      <c r="CK290" s="57"/>
      <c r="CL290" s="57"/>
      <c r="CM290" s="57"/>
      <c r="CN290" s="57"/>
      <c r="CO290" s="57"/>
      <c r="CP290" s="57"/>
      <c r="CQ290" s="57"/>
      <c r="CR290" s="57"/>
      <c r="CS290" s="57"/>
      <c r="CT290" s="57"/>
    </row>
    <row r="291" ht="15.0" customHeight="1">
      <c r="A291" s="51" t="str">
        <f t="shared" si="3"/>
        <v/>
      </c>
      <c r="B291" s="45"/>
      <c r="C291" s="39" t="str">
        <f t="shared" si="1"/>
        <v/>
      </c>
      <c r="D291" s="39" t="str">
        <f t="shared" si="2"/>
        <v/>
      </c>
      <c r="E291" s="45"/>
      <c r="F291" s="45"/>
      <c r="G291" s="45"/>
      <c r="H291" s="52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/>
      <c r="BR291" s="53"/>
      <c r="BS291" s="53"/>
      <c r="BT291" s="53"/>
      <c r="BU291" s="53"/>
      <c r="BV291" s="53"/>
      <c r="BW291" s="53"/>
      <c r="BX291" s="53"/>
      <c r="BY291" s="53"/>
      <c r="BZ291" s="53"/>
      <c r="CA291" s="53"/>
      <c r="CB291" s="53"/>
      <c r="CC291" s="53"/>
      <c r="CD291" s="53"/>
      <c r="CE291" s="53"/>
      <c r="CF291" s="53"/>
      <c r="CG291" s="53"/>
      <c r="CH291" s="53"/>
      <c r="CI291" s="53"/>
      <c r="CJ291" s="53"/>
      <c r="CK291" s="53"/>
      <c r="CL291" s="53"/>
      <c r="CM291" s="53"/>
      <c r="CN291" s="53"/>
      <c r="CO291" s="53"/>
      <c r="CP291" s="53"/>
      <c r="CQ291" s="53"/>
      <c r="CR291" s="53"/>
      <c r="CS291" s="53"/>
      <c r="CT291" s="53"/>
    </row>
    <row r="292" ht="15.0" customHeight="1">
      <c r="A292" s="54" t="str">
        <f t="shared" si="3"/>
        <v/>
      </c>
      <c r="B292" s="48"/>
      <c r="C292" s="55" t="str">
        <f t="shared" si="1"/>
        <v/>
      </c>
      <c r="D292" s="55" t="str">
        <f t="shared" si="2"/>
        <v/>
      </c>
      <c r="E292" s="48"/>
      <c r="F292" s="48"/>
      <c r="G292" s="48"/>
      <c r="H292" s="56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/>
      <c r="BR292" s="57"/>
      <c r="BS292" s="57"/>
      <c r="BT292" s="57"/>
      <c r="BU292" s="57"/>
      <c r="BV292" s="57"/>
      <c r="BW292" s="57"/>
      <c r="BX292" s="57"/>
      <c r="BY292" s="57"/>
      <c r="BZ292" s="57"/>
      <c r="CA292" s="57"/>
      <c r="CB292" s="57"/>
      <c r="CC292" s="57"/>
      <c r="CD292" s="57"/>
      <c r="CE292" s="57"/>
      <c r="CF292" s="57"/>
      <c r="CG292" s="57"/>
      <c r="CH292" s="57"/>
      <c r="CI292" s="57"/>
      <c r="CJ292" s="57"/>
      <c r="CK292" s="57"/>
      <c r="CL292" s="57"/>
      <c r="CM292" s="57"/>
      <c r="CN292" s="57"/>
      <c r="CO292" s="57"/>
      <c r="CP292" s="57"/>
      <c r="CQ292" s="57"/>
      <c r="CR292" s="57"/>
      <c r="CS292" s="57"/>
      <c r="CT292" s="57"/>
    </row>
    <row r="293" ht="15.0" customHeight="1">
      <c r="A293" s="51" t="str">
        <f t="shared" si="3"/>
        <v/>
      </c>
      <c r="B293" s="45"/>
      <c r="C293" s="39" t="str">
        <f t="shared" si="1"/>
        <v/>
      </c>
      <c r="D293" s="39" t="str">
        <f t="shared" si="2"/>
        <v/>
      </c>
      <c r="E293" s="45"/>
      <c r="F293" s="45"/>
      <c r="G293" s="45"/>
      <c r="H293" s="52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53"/>
      <c r="BW293" s="53"/>
      <c r="BX293" s="53"/>
      <c r="BY293" s="53"/>
      <c r="BZ293" s="53"/>
      <c r="CA293" s="53"/>
      <c r="CB293" s="53"/>
      <c r="CC293" s="53"/>
      <c r="CD293" s="53"/>
      <c r="CE293" s="53"/>
      <c r="CF293" s="53"/>
      <c r="CG293" s="53"/>
      <c r="CH293" s="53"/>
      <c r="CI293" s="53"/>
      <c r="CJ293" s="53"/>
      <c r="CK293" s="53"/>
      <c r="CL293" s="53"/>
      <c r="CM293" s="53"/>
      <c r="CN293" s="53"/>
      <c r="CO293" s="53"/>
      <c r="CP293" s="53"/>
      <c r="CQ293" s="53"/>
      <c r="CR293" s="53"/>
      <c r="CS293" s="53"/>
      <c r="CT293" s="53"/>
    </row>
    <row r="294" ht="15.0" customHeight="1">
      <c r="A294" s="54" t="str">
        <f t="shared" si="3"/>
        <v/>
      </c>
      <c r="B294" s="48"/>
      <c r="C294" s="55" t="str">
        <f t="shared" si="1"/>
        <v/>
      </c>
      <c r="D294" s="55" t="str">
        <f t="shared" si="2"/>
        <v/>
      </c>
      <c r="E294" s="48"/>
      <c r="F294" s="48"/>
      <c r="G294" s="48"/>
      <c r="H294" s="56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7"/>
      <c r="BZ294" s="57"/>
      <c r="CA294" s="57"/>
      <c r="CB294" s="57"/>
      <c r="CC294" s="57"/>
      <c r="CD294" s="57"/>
      <c r="CE294" s="57"/>
      <c r="CF294" s="57"/>
      <c r="CG294" s="57"/>
      <c r="CH294" s="57"/>
      <c r="CI294" s="57"/>
      <c r="CJ294" s="57"/>
      <c r="CK294" s="57"/>
      <c r="CL294" s="57"/>
      <c r="CM294" s="57"/>
      <c r="CN294" s="57"/>
      <c r="CO294" s="57"/>
      <c r="CP294" s="57"/>
      <c r="CQ294" s="57"/>
      <c r="CR294" s="57"/>
      <c r="CS294" s="57"/>
      <c r="CT294" s="57"/>
    </row>
    <row r="295" ht="15.0" customHeight="1">
      <c r="A295" s="51" t="str">
        <f t="shared" si="3"/>
        <v/>
      </c>
      <c r="B295" s="45"/>
      <c r="C295" s="39" t="str">
        <f t="shared" si="1"/>
        <v/>
      </c>
      <c r="D295" s="39" t="str">
        <f t="shared" si="2"/>
        <v/>
      </c>
      <c r="E295" s="45"/>
      <c r="F295" s="45"/>
      <c r="G295" s="45"/>
      <c r="H295" s="52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/>
      <c r="BR295" s="53"/>
      <c r="BS295" s="53"/>
      <c r="BT295" s="53"/>
      <c r="BU295" s="53"/>
      <c r="BV295" s="53"/>
      <c r="BW295" s="53"/>
      <c r="BX295" s="53"/>
      <c r="BY295" s="53"/>
      <c r="BZ295" s="53"/>
      <c r="CA295" s="53"/>
      <c r="CB295" s="53"/>
      <c r="CC295" s="53"/>
      <c r="CD295" s="53"/>
      <c r="CE295" s="53"/>
      <c r="CF295" s="53"/>
      <c r="CG295" s="53"/>
      <c r="CH295" s="53"/>
      <c r="CI295" s="53"/>
      <c r="CJ295" s="53"/>
      <c r="CK295" s="53"/>
      <c r="CL295" s="53"/>
      <c r="CM295" s="53"/>
      <c r="CN295" s="53"/>
      <c r="CO295" s="53"/>
      <c r="CP295" s="53"/>
      <c r="CQ295" s="53"/>
      <c r="CR295" s="53"/>
      <c r="CS295" s="53"/>
      <c r="CT295" s="53"/>
    </row>
    <row r="296" ht="15.0" customHeight="1">
      <c r="A296" s="54" t="str">
        <f t="shared" si="3"/>
        <v/>
      </c>
      <c r="B296" s="48"/>
      <c r="C296" s="55" t="str">
        <f t="shared" si="1"/>
        <v/>
      </c>
      <c r="D296" s="55" t="str">
        <f t="shared" si="2"/>
        <v/>
      </c>
      <c r="E296" s="48"/>
      <c r="F296" s="48"/>
      <c r="G296" s="48"/>
      <c r="H296" s="56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7"/>
      <c r="BZ296" s="57"/>
      <c r="CA296" s="57"/>
      <c r="CB296" s="57"/>
      <c r="CC296" s="57"/>
      <c r="CD296" s="57"/>
      <c r="CE296" s="57"/>
      <c r="CF296" s="57"/>
      <c r="CG296" s="57"/>
      <c r="CH296" s="57"/>
      <c r="CI296" s="57"/>
      <c r="CJ296" s="57"/>
      <c r="CK296" s="57"/>
      <c r="CL296" s="57"/>
      <c r="CM296" s="57"/>
      <c r="CN296" s="57"/>
      <c r="CO296" s="57"/>
      <c r="CP296" s="57"/>
      <c r="CQ296" s="57"/>
      <c r="CR296" s="57"/>
      <c r="CS296" s="57"/>
      <c r="CT296" s="57"/>
    </row>
    <row r="297" ht="15.0" customHeight="1">
      <c r="A297" s="51" t="str">
        <f t="shared" si="3"/>
        <v/>
      </c>
      <c r="B297" s="45"/>
      <c r="C297" s="39" t="str">
        <f t="shared" si="1"/>
        <v/>
      </c>
      <c r="D297" s="39" t="str">
        <f t="shared" si="2"/>
        <v/>
      </c>
      <c r="E297" s="45"/>
      <c r="F297" s="45"/>
      <c r="G297" s="45"/>
      <c r="H297" s="52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53"/>
      <c r="BW297" s="53"/>
      <c r="BX297" s="53"/>
      <c r="BY297" s="53"/>
      <c r="BZ297" s="53"/>
      <c r="CA297" s="53"/>
      <c r="CB297" s="53"/>
      <c r="CC297" s="53"/>
      <c r="CD297" s="53"/>
      <c r="CE297" s="53"/>
      <c r="CF297" s="53"/>
      <c r="CG297" s="53"/>
      <c r="CH297" s="53"/>
      <c r="CI297" s="53"/>
      <c r="CJ297" s="53"/>
      <c r="CK297" s="53"/>
      <c r="CL297" s="53"/>
      <c r="CM297" s="53"/>
      <c r="CN297" s="53"/>
      <c r="CO297" s="53"/>
      <c r="CP297" s="53"/>
      <c r="CQ297" s="53"/>
      <c r="CR297" s="53"/>
      <c r="CS297" s="53"/>
      <c r="CT297" s="53"/>
    </row>
    <row r="298" ht="15.0" customHeight="1">
      <c r="A298" s="54" t="str">
        <f t="shared" si="3"/>
        <v/>
      </c>
      <c r="B298" s="48"/>
      <c r="C298" s="55" t="str">
        <f t="shared" si="1"/>
        <v/>
      </c>
      <c r="D298" s="55" t="str">
        <f t="shared" si="2"/>
        <v/>
      </c>
      <c r="E298" s="48"/>
      <c r="F298" s="48"/>
      <c r="G298" s="48"/>
      <c r="H298" s="56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57"/>
      <c r="BS298" s="57"/>
      <c r="BT298" s="57"/>
      <c r="BU298" s="57"/>
      <c r="BV298" s="57"/>
      <c r="BW298" s="57"/>
      <c r="BX298" s="57"/>
      <c r="BY298" s="57"/>
      <c r="BZ298" s="57"/>
      <c r="CA298" s="57"/>
      <c r="CB298" s="57"/>
      <c r="CC298" s="57"/>
      <c r="CD298" s="57"/>
      <c r="CE298" s="57"/>
      <c r="CF298" s="57"/>
      <c r="CG298" s="57"/>
      <c r="CH298" s="57"/>
      <c r="CI298" s="57"/>
      <c r="CJ298" s="57"/>
      <c r="CK298" s="57"/>
      <c r="CL298" s="57"/>
      <c r="CM298" s="57"/>
      <c r="CN298" s="57"/>
      <c r="CO298" s="57"/>
      <c r="CP298" s="57"/>
      <c r="CQ298" s="57"/>
      <c r="CR298" s="57"/>
      <c r="CS298" s="57"/>
      <c r="CT298" s="57"/>
    </row>
    <row r="299" ht="15.0" customHeight="1">
      <c r="A299" s="51" t="str">
        <f t="shared" si="3"/>
        <v/>
      </c>
      <c r="B299" s="45"/>
      <c r="C299" s="39" t="str">
        <f t="shared" si="1"/>
        <v/>
      </c>
      <c r="D299" s="39" t="str">
        <f t="shared" si="2"/>
        <v/>
      </c>
      <c r="E299" s="45"/>
      <c r="F299" s="45"/>
      <c r="G299" s="45"/>
      <c r="H299" s="52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  <c r="BV299" s="53"/>
      <c r="BW299" s="53"/>
      <c r="BX299" s="53"/>
      <c r="BY299" s="53"/>
      <c r="BZ299" s="53"/>
      <c r="CA299" s="53"/>
      <c r="CB299" s="53"/>
      <c r="CC299" s="53"/>
      <c r="CD299" s="53"/>
      <c r="CE299" s="53"/>
      <c r="CF299" s="53"/>
      <c r="CG299" s="53"/>
      <c r="CH299" s="53"/>
      <c r="CI299" s="53"/>
      <c r="CJ299" s="53"/>
      <c r="CK299" s="53"/>
      <c r="CL299" s="53"/>
      <c r="CM299" s="53"/>
      <c r="CN299" s="53"/>
      <c r="CO299" s="53"/>
      <c r="CP299" s="53"/>
      <c r="CQ299" s="53"/>
      <c r="CR299" s="53"/>
      <c r="CS299" s="53"/>
      <c r="CT299" s="53"/>
    </row>
    <row r="300" ht="15.0" customHeight="1">
      <c r="A300" s="54" t="str">
        <f t="shared" si="3"/>
        <v/>
      </c>
      <c r="B300" s="48"/>
      <c r="C300" s="55" t="str">
        <f t="shared" si="1"/>
        <v/>
      </c>
      <c r="D300" s="55" t="str">
        <f t="shared" si="2"/>
        <v/>
      </c>
      <c r="E300" s="48"/>
      <c r="F300" s="48"/>
      <c r="G300" s="48"/>
      <c r="H300" s="56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57"/>
      <c r="BI300" s="57"/>
      <c r="BJ300" s="57"/>
      <c r="BK300" s="57"/>
      <c r="BL300" s="57"/>
      <c r="BM300" s="57"/>
      <c r="BN300" s="57"/>
      <c r="BO300" s="57"/>
      <c r="BP300" s="57"/>
      <c r="BQ300" s="57"/>
      <c r="BR300" s="57"/>
      <c r="BS300" s="57"/>
      <c r="BT300" s="57"/>
      <c r="BU300" s="57"/>
      <c r="BV300" s="57"/>
      <c r="BW300" s="57"/>
      <c r="BX300" s="57"/>
      <c r="BY300" s="57"/>
      <c r="BZ300" s="57"/>
      <c r="CA300" s="57"/>
      <c r="CB300" s="57"/>
      <c r="CC300" s="57"/>
      <c r="CD300" s="57"/>
      <c r="CE300" s="57"/>
      <c r="CF300" s="57"/>
      <c r="CG300" s="57"/>
      <c r="CH300" s="57"/>
      <c r="CI300" s="57"/>
      <c r="CJ300" s="57"/>
      <c r="CK300" s="57"/>
      <c r="CL300" s="57"/>
      <c r="CM300" s="57"/>
      <c r="CN300" s="57"/>
      <c r="CO300" s="57"/>
      <c r="CP300" s="57"/>
      <c r="CQ300" s="57"/>
      <c r="CR300" s="57"/>
      <c r="CS300" s="57"/>
      <c r="CT300" s="57"/>
    </row>
    <row r="301" ht="15.0" customHeight="1">
      <c r="A301" s="51" t="str">
        <f t="shared" si="3"/>
        <v/>
      </c>
      <c r="B301" s="45"/>
      <c r="C301" s="39" t="str">
        <f t="shared" si="1"/>
        <v/>
      </c>
      <c r="D301" s="39" t="str">
        <f t="shared" si="2"/>
        <v/>
      </c>
      <c r="E301" s="45"/>
      <c r="F301" s="45"/>
      <c r="G301" s="45"/>
      <c r="H301" s="52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  <c r="BV301" s="53"/>
      <c r="BW301" s="53"/>
      <c r="BX301" s="53"/>
      <c r="BY301" s="53"/>
      <c r="BZ301" s="53"/>
      <c r="CA301" s="53"/>
      <c r="CB301" s="53"/>
      <c r="CC301" s="53"/>
      <c r="CD301" s="53"/>
      <c r="CE301" s="53"/>
      <c r="CF301" s="53"/>
      <c r="CG301" s="53"/>
      <c r="CH301" s="53"/>
      <c r="CI301" s="53"/>
      <c r="CJ301" s="53"/>
      <c r="CK301" s="53"/>
      <c r="CL301" s="53"/>
      <c r="CM301" s="53"/>
      <c r="CN301" s="53"/>
      <c r="CO301" s="53"/>
      <c r="CP301" s="53"/>
      <c r="CQ301" s="53"/>
      <c r="CR301" s="53"/>
      <c r="CS301" s="53"/>
      <c r="CT301" s="53"/>
    </row>
    <row r="302" ht="15.0" customHeight="1">
      <c r="A302" s="54" t="str">
        <f t="shared" si="3"/>
        <v/>
      </c>
      <c r="B302" s="48"/>
      <c r="C302" s="55" t="str">
        <f t="shared" si="1"/>
        <v/>
      </c>
      <c r="D302" s="55" t="str">
        <f t="shared" si="2"/>
        <v/>
      </c>
      <c r="E302" s="48"/>
      <c r="F302" s="48"/>
      <c r="G302" s="48"/>
      <c r="H302" s="56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57"/>
      <c r="BS302" s="57"/>
      <c r="BT302" s="57"/>
      <c r="BU302" s="57"/>
      <c r="BV302" s="57"/>
      <c r="BW302" s="57"/>
      <c r="BX302" s="57"/>
      <c r="BY302" s="57"/>
      <c r="BZ302" s="57"/>
      <c r="CA302" s="57"/>
      <c r="CB302" s="57"/>
      <c r="CC302" s="57"/>
      <c r="CD302" s="57"/>
      <c r="CE302" s="57"/>
      <c r="CF302" s="57"/>
      <c r="CG302" s="57"/>
      <c r="CH302" s="57"/>
      <c r="CI302" s="57"/>
      <c r="CJ302" s="57"/>
      <c r="CK302" s="57"/>
      <c r="CL302" s="57"/>
      <c r="CM302" s="57"/>
      <c r="CN302" s="57"/>
      <c r="CO302" s="57"/>
      <c r="CP302" s="57"/>
      <c r="CQ302" s="57"/>
      <c r="CR302" s="57"/>
      <c r="CS302" s="57"/>
      <c r="CT302" s="57"/>
    </row>
    <row r="303" ht="15.0" customHeight="1">
      <c r="A303" s="51" t="str">
        <f t="shared" si="3"/>
        <v/>
      </c>
      <c r="B303" s="45"/>
      <c r="C303" s="39" t="str">
        <f t="shared" si="1"/>
        <v/>
      </c>
      <c r="D303" s="39" t="str">
        <f t="shared" si="2"/>
        <v/>
      </c>
      <c r="E303" s="45"/>
      <c r="F303" s="45"/>
      <c r="G303" s="45"/>
      <c r="H303" s="52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/>
      <c r="BR303" s="53"/>
      <c r="BS303" s="53"/>
      <c r="BT303" s="53"/>
      <c r="BU303" s="53"/>
      <c r="BV303" s="53"/>
      <c r="BW303" s="53"/>
      <c r="BX303" s="53"/>
      <c r="BY303" s="53"/>
      <c r="BZ303" s="53"/>
      <c r="CA303" s="53"/>
      <c r="CB303" s="53"/>
      <c r="CC303" s="53"/>
      <c r="CD303" s="53"/>
      <c r="CE303" s="53"/>
      <c r="CF303" s="53"/>
      <c r="CG303" s="53"/>
      <c r="CH303" s="53"/>
      <c r="CI303" s="53"/>
      <c r="CJ303" s="53"/>
      <c r="CK303" s="53"/>
      <c r="CL303" s="53"/>
      <c r="CM303" s="53"/>
      <c r="CN303" s="53"/>
      <c r="CO303" s="53"/>
      <c r="CP303" s="53"/>
      <c r="CQ303" s="53"/>
      <c r="CR303" s="53"/>
      <c r="CS303" s="53"/>
      <c r="CT303" s="53"/>
    </row>
    <row r="304" ht="15.0" customHeight="1">
      <c r="A304" s="54" t="str">
        <f t="shared" si="3"/>
        <v/>
      </c>
      <c r="B304" s="48"/>
      <c r="C304" s="55" t="str">
        <f t="shared" si="1"/>
        <v/>
      </c>
      <c r="D304" s="55" t="str">
        <f t="shared" si="2"/>
        <v/>
      </c>
      <c r="E304" s="48"/>
      <c r="F304" s="48"/>
      <c r="G304" s="48"/>
      <c r="H304" s="56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57"/>
      <c r="BI304" s="57"/>
      <c r="BJ304" s="57"/>
      <c r="BK304" s="57"/>
      <c r="BL304" s="57"/>
      <c r="BM304" s="57"/>
      <c r="BN304" s="57"/>
      <c r="BO304" s="57"/>
      <c r="BP304" s="57"/>
      <c r="BQ304" s="57"/>
      <c r="BR304" s="57"/>
      <c r="BS304" s="57"/>
      <c r="BT304" s="57"/>
      <c r="BU304" s="57"/>
      <c r="BV304" s="57"/>
      <c r="BW304" s="57"/>
      <c r="BX304" s="57"/>
      <c r="BY304" s="57"/>
      <c r="BZ304" s="57"/>
      <c r="CA304" s="57"/>
      <c r="CB304" s="57"/>
      <c r="CC304" s="57"/>
      <c r="CD304" s="57"/>
      <c r="CE304" s="57"/>
      <c r="CF304" s="57"/>
      <c r="CG304" s="57"/>
      <c r="CH304" s="57"/>
      <c r="CI304" s="57"/>
      <c r="CJ304" s="57"/>
      <c r="CK304" s="57"/>
      <c r="CL304" s="57"/>
      <c r="CM304" s="57"/>
      <c r="CN304" s="57"/>
      <c r="CO304" s="57"/>
      <c r="CP304" s="57"/>
      <c r="CQ304" s="57"/>
      <c r="CR304" s="57"/>
      <c r="CS304" s="57"/>
      <c r="CT304" s="57"/>
    </row>
    <row r="305" ht="15.0" customHeight="1">
      <c r="A305" s="51" t="str">
        <f t="shared" si="3"/>
        <v/>
      </c>
      <c r="B305" s="45"/>
      <c r="C305" s="39" t="str">
        <f t="shared" si="1"/>
        <v/>
      </c>
      <c r="D305" s="39" t="str">
        <f t="shared" si="2"/>
        <v/>
      </c>
      <c r="E305" s="45"/>
      <c r="F305" s="45"/>
      <c r="G305" s="45"/>
      <c r="H305" s="52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3"/>
      <c r="BN305" s="53"/>
      <c r="BO305" s="53"/>
      <c r="BP305" s="53"/>
      <c r="BQ305" s="53"/>
      <c r="BR305" s="53"/>
      <c r="BS305" s="53"/>
      <c r="BT305" s="53"/>
      <c r="BU305" s="53"/>
      <c r="BV305" s="53"/>
      <c r="BW305" s="53"/>
      <c r="BX305" s="53"/>
      <c r="BY305" s="53"/>
      <c r="BZ305" s="53"/>
      <c r="CA305" s="53"/>
      <c r="CB305" s="53"/>
      <c r="CC305" s="53"/>
      <c r="CD305" s="53"/>
      <c r="CE305" s="53"/>
      <c r="CF305" s="53"/>
      <c r="CG305" s="53"/>
      <c r="CH305" s="53"/>
      <c r="CI305" s="53"/>
      <c r="CJ305" s="53"/>
      <c r="CK305" s="53"/>
      <c r="CL305" s="53"/>
      <c r="CM305" s="53"/>
      <c r="CN305" s="53"/>
      <c r="CO305" s="53"/>
      <c r="CP305" s="53"/>
      <c r="CQ305" s="53"/>
      <c r="CR305" s="53"/>
      <c r="CS305" s="53"/>
      <c r="CT305" s="53"/>
    </row>
    <row r="306" ht="15.0" customHeight="1">
      <c r="A306" s="54" t="str">
        <f t="shared" si="3"/>
        <v/>
      </c>
      <c r="B306" s="48"/>
      <c r="C306" s="55" t="str">
        <f t="shared" si="1"/>
        <v/>
      </c>
      <c r="D306" s="55" t="str">
        <f t="shared" si="2"/>
        <v/>
      </c>
      <c r="E306" s="48"/>
      <c r="F306" s="48"/>
      <c r="G306" s="48"/>
      <c r="H306" s="56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  <c r="BQ306" s="57"/>
      <c r="BR306" s="57"/>
      <c r="BS306" s="57"/>
      <c r="BT306" s="57"/>
      <c r="BU306" s="57"/>
      <c r="BV306" s="57"/>
      <c r="BW306" s="57"/>
      <c r="BX306" s="57"/>
      <c r="BY306" s="57"/>
      <c r="BZ306" s="57"/>
      <c r="CA306" s="57"/>
      <c r="CB306" s="57"/>
      <c r="CC306" s="57"/>
      <c r="CD306" s="57"/>
      <c r="CE306" s="57"/>
      <c r="CF306" s="57"/>
      <c r="CG306" s="57"/>
      <c r="CH306" s="57"/>
      <c r="CI306" s="57"/>
      <c r="CJ306" s="57"/>
      <c r="CK306" s="57"/>
      <c r="CL306" s="57"/>
      <c r="CM306" s="57"/>
      <c r="CN306" s="57"/>
      <c r="CO306" s="57"/>
      <c r="CP306" s="57"/>
      <c r="CQ306" s="57"/>
      <c r="CR306" s="57"/>
      <c r="CS306" s="57"/>
      <c r="CT306" s="57"/>
    </row>
    <row r="307" ht="15.0" customHeight="1">
      <c r="A307" s="51" t="str">
        <f t="shared" si="3"/>
        <v/>
      </c>
      <c r="B307" s="45"/>
      <c r="C307" s="39" t="str">
        <f t="shared" si="1"/>
        <v/>
      </c>
      <c r="D307" s="39" t="str">
        <f t="shared" si="2"/>
        <v/>
      </c>
      <c r="E307" s="45"/>
      <c r="F307" s="45"/>
      <c r="G307" s="45"/>
      <c r="H307" s="52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3"/>
      <c r="BN307" s="53"/>
      <c r="BO307" s="53"/>
      <c r="BP307" s="53"/>
      <c r="BQ307" s="53"/>
      <c r="BR307" s="53"/>
      <c r="BS307" s="53"/>
      <c r="BT307" s="53"/>
      <c r="BU307" s="53"/>
      <c r="BV307" s="53"/>
      <c r="BW307" s="53"/>
      <c r="BX307" s="53"/>
      <c r="BY307" s="53"/>
      <c r="BZ307" s="53"/>
      <c r="CA307" s="53"/>
      <c r="CB307" s="53"/>
      <c r="CC307" s="53"/>
      <c r="CD307" s="53"/>
      <c r="CE307" s="53"/>
      <c r="CF307" s="53"/>
      <c r="CG307" s="53"/>
      <c r="CH307" s="53"/>
      <c r="CI307" s="53"/>
      <c r="CJ307" s="53"/>
      <c r="CK307" s="53"/>
      <c r="CL307" s="53"/>
      <c r="CM307" s="53"/>
      <c r="CN307" s="53"/>
      <c r="CO307" s="53"/>
      <c r="CP307" s="53"/>
      <c r="CQ307" s="53"/>
      <c r="CR307" s="53"/>
      <c r="CS307" s="53"/>
      <c r="CT307" s="53"/>
    </row>
    <row r="308" ht="15.0" customHeight="1">
      <c r="A308" s="54" t="str">
        <f t="shared" si="3"/>
        <v/>
      </c>
      <c r="B308" s="48"/>
      <c r="C308" s="55" t="str">
        <f t="shared" si="1"/>
        <v/>
      </c>
      <c r="D308" s="55" t="str">
        <f t="shared" si="2"/>
        <v/>
      </c>
      <c r="E308" s="48"/>
      <c r="F308" s="48"/>
      <c r="G308" s="48"/>
      <c r="H308" s="56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  <c r="BQ308" s="57"/>
      <c r="BR308" s="57"/>
      <c r="BS308" s="57"/>
      <c r="BT308" s="57"/>
      <c r="BU308" s="57"/>
      <c r="BV308" s="57"/>
      <c r="BW308" s="57"/>
      <c r="BX308" s="57"/>
      <c r="BY308" s="57"/>
      <c r="BZ308" s="57"/>
      <c r="CA308" s="57"/>
      <c r="CB308" s="57"/>
      <c r="CC308" s="57"/>
      <c r="CD308" s="57"/>
      <c r="CE308" s="57"/>
      <c r="CF308" s="57"/>
      <c r="CG308" s="57"/>
      <c r="CH308" s="57"/>
      <c r="CI308" s="57"/>
      <c r="CJ308" s="57"/>
      <c r="CK308" s="57"/>
      <c r="CL308" s="57"/>
      <c r="CM308" s="57"/>
      <c r="CN308" s="57"/>
      <c r="CO308" s="57"/>
      <c r="CP308" s="57"/>
      <c r="CQ308" s="57"/>
      <c r="CR308" s="57"/>
      <c r="CS308" s="57"/>
      <c r="CT308" s="57"/>
    </row>
    <row r="309" ht="15.0" customHeight="1">
      <c r="A309" s="51" t="str">
        <f t="shared" si="3"/>
        <v/>
      </c>
      <c r="B309" s="45"/>
      <c r="C309" s="39" t="str">
        <f t="shared" si="1"/>
        <v/>
      </c>
      <c r="D309" s="39" t="str">
        <f t="shared" si="2"/>
        <v/>
      </c>
      <c r="E309" s="45"/>
      <c r="F309" s="45"/>
      <c r="G309" s="45"/>
      <c r="H309" s="52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/>
      <c r="BR309" s="53"/>
      <c r="BS309" s="53"/>
      <c r="BT309" s="53"/>
      <c r="BU309" s="53"/>
      <c r="BV309" s="53"/>
      <c r="BW309" s="53"/>
      <c r="BX309" s="53"/>
      <c r="BY309" s="53"/>
      <c r="BZ309" s="53"/>
      <c r="CA309" s="53"/>
      <c r="CB309" s="53"/>
      <c r="CC309" s="53"/>
      <c r="CD309" s="53"/>
      <c r="CE309" s="53"/>
      <c r="CF309" s="53"/>
      <c r="CG309" s="53"/>
      <c r="CH309" s="53"/>
      <c r="CI309" s="53"/>
      <c r="CJ309" s="53"/>
      <c r="CK309" s="53"/>
      <c r="CL309" s="53"/>
      <c r="CM309" s="53"/>
      <c r="CN309" s="53"/>
      <c r="CO309" s="53"/>
      <c r="CP309" s="53"/>
      <c r="CQ309" s="53"/>
      <c r="CR309" s="53"/>
      <c r="CS309" s="53"/>
      <c r="CT309" s="53"/>
    </row>
    <row r="310" ht="15.0" customHeight="1">
      <c r="A310" s="54" t="str">
        <f t="shared" si="3"/>
        <v/>
      </c>
      <c r="B310" s="48"/>
      <c r="C310" s="55" t="str">
        <f t="shared" si="1"/>
        <v/>
      </c>
      <c r="D310" s="55" t="str">
        <f t="shared" si="2"/>
        <v/>
      </c>
      <c r="E310" s="48"/>
      <c r="F310" s="48"/>
      <c r="G310" s="48"/>
      <c r="H310" s="56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  <c r="BV310" s="57"/>
      <c r="BW310" s="57"/>
      <c r="BX310" s="57"/>
      <c r="BY310" s="57"/>
      <c r="BZ310" s="57"/>
      <c r="CA310" s="57"/>
      <c r="CB310" s="57"/>
      <c r="CC310" s="57"/>
      <c r="CD310" s="57"/>
      <c r="CE310" s="57"/>
      <c r="CF310" s="57"/>
      <c r="CG310" s="57"/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7"/>
      <c r="CS310" s="57"/>
      <c r="CT310" s="57"/>
    </row>
    <row r="311" ht="15.0" customHeight="1">
      <c r="A311" s="51" t="str">
        <f t="shared" si="3"/>
        <v/>
      </c>
      <c r="B311" s="45"/>
      <c r="C311" s="39" t="str">
        <f t="shared" si="1"/>
        <v/>
      </c>
      <c r="D311" s="39" t="str">
        <f t="shared" si="2"/>
        <v/>
      </c>
      <c r="E311" s="45"/>
      <c r="F311" s="45"/>
      <c r="G311" s="45"/>
      <c r="H311" s="52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/>
      <c r="BR311" s="53"/>
      <c r="BS311" s="53"/>
      <c r="BT311" s="53"/>
      <c r="BU311" s="53"/>
      <c r="BV311" s="53"/>
      <c r="BW311" s="53"/>
      <c r="BX311" s="53"/>
      <c r="BY311" s="53"/>
      <c r="BZ311" s="53"/>
      <c r="CA311" s="53"/>
      <c r="CB311" s="53"/>
      <c r="CC311" s="53"/>
      <c r="CD311" s="53"/>
      <c r="CE311" s="53"/>
      <c r="CF311" s="53"/>
      <c r="CG311" s="53"/>
      <c r="CH311" s="53"/>
      <c r="CI311" s="53"/>
      <c r="CJ311" s="53"/>
      <c r="CK311" s="53"/>
      <c r="CL311" s="53"/>
      <c r="CM311" s="53"/>
      <c r="CN311" s="53"/>
      <c r="CO311" s="53"/>
      <c r="CP311" s="53"/>
      <c r="CQ311" s="53"/>
      <c r="CR311" s="53"/>
      <c r="CS311" s="53"/>
      <c r="CT311" s="53"/>
    </row>
    <row r="312" ht="15.0" customHeight="1">
      <c r="A312" s="54" t="str">
        <f t="shared" si="3"/>
        <v/>
      </c>
      <c r="B312" s="48"/>
      <c r="C312" s="55" t="str">
        <f t="shared" si="1"/>
        <v/>
      </c>
      <c r="D312" s="55" t="str">
        <f t="shared" si="2"/>
        <v/>
      </c>
      <c r="E312" s="48"/>
      <c r="F312" s="48"/>
      <c r="G312" s="48"/>
      <c r="H312" s="56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57"/>
      <c r="BI312" s="57"/>
      <c r="BJ312" s="57"/>
      <c r="BK312" s="57"/>
      <c r="BL312" s="57"/>
      <c r="BM312" s="57"/>
      <c r="BN312" s="57"/>
      <c r="BO312" s="57"/>
      <c r="BP312" s="57"/>
      <c r="BQ312" s="57"/>
      <c r="BR312" s="57"/>
      <c r="BS312" s="57"/>
      <c r="BT312" s="57"/>
      <c r="BU312" s="57"/>
      <c r="BV312" s="57"/>
      <c r="BW312" s="57"/>
      <c r="BX312" s="57"/>
      <c r="BY312" s="57"/>
      <c r="BZ312" s="57"/>
      <c r="CA312" s="57"/>
      <c r="CB312" s="57"/>
      <c r="CC312" s="57"/>
      <c r="CD312" s="57"/>
      <c r="CE312" s="57"/>
      <c r="CF312" s="57"/>
      <c r="CG312" s="57"/>
      <c r="CH312" s="57"/>
      <c r="CI312" s="57"/>
      <c r="CJ312" s="57"/>
      <c r="CK312" s="57"/>
      <c r="CL312" s="57"/>
      <c r="CM312" s="57"/>
      <c r="CN312" s="57"/>
      <c r="CO312" s="57"/>
      <c r="CP312" s="57"/>
      <c r="CQ312" s="57"/>
      <c r="CR312" s="57"/>
      <c r="CS312" s="57"/>
      <c r="CT312" s="57"/>
    </row>
    <row r="313" ht="15.0" customHeight="1">
      <c r="A313" s="51" t="str">
        <f t="shared" si="3"/>
        <v/>
      </c>
      <c r="B313" s="45"/>
      <c r="C313" s="39" t="str">
        <f t="shared" si="1"/>
        <v/>
      </c>
      <c r="D313" s="39" t="str">
        <f t="shared" si="2"/>
        <v/>
      </c>
      <c r="E313" s="45"/>
      <c r="F313" s="45"/>
      <c r="G313" s="45"/>
      <c r="H313" s="52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  <c r="BV313" s="53"/>
      <c r="BW313" s="53"/>
      <c r="BX313" s="53"/>
      <c r="BY313" s="53"/>
      <c r="BZ313" s="53"/>
      <c r="CA313" s="53"/>
      <c r="CB313" s="53"/>
      <c r="CC313" s="53"/>
      <c r="CD313" s="53"/>
      <c r="CE313" s="53"/>
      <c r="CF313" s="53"/>
      <c r="CG313" s="53"/>
      <c r="CH313" s="53"/>
      <c r="CI313" s="53"/>
      <c r="CJ313" s="53"/>
      <c r="CK313" s="53"/>
      <c r="CL313" s="53"/>
      <c r="CM313" s="53"/>
      <c r="CN313" s="53"/>
      <c r="CO313" s="53"/>
      <c r="CP313" s="53"/>
      <c r="CQ313" s="53"/>
      <c r="CR313" s="53"/>
      <c r="CS313" s="53"/>
      <c r="CT313" s="53"/>
    </row>
    <row r="314" ht="15.0" customHeight="1">
      <c r="A314" s="54" t="str">
        <f t="shared" si="3"/>
        <v/>
      </c>
      <c r="B314" s="48"/>
      <c r="C314" s="55" t="str">
        <f t="shared" si="1"/>
        <v/>
      </c>
      <c r="D314" s="55" t="str">
        <f t="shared" si="2"/>
        <v/>
      </c>
      <c r="E314" s="48"/>
      <c r="F314" s="48"/>
      <c r="G314" s="48"/>
      <c r="H314" s="56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/>
      <c r="BR314" s="57"/>
      <c r="BS314" s="57"/>
      <c r="BT314" s="57"/>
      <c r="BU314" s="57"/>
      <c r="BV314" s="57"/>
      <c r="BW314" s="57"/>
      <c r="BX314" s="57"/>
      <c r="BY314" s="57"/>
      <c r="BZ314" s="57"/>
      <c r="CA314" s="57"/>
      <c r="CB314" s="57"/>
      <c r="CC314" s="57"/>
      <c r="CD314" s="57"/>
      <c r="CE314" s="57"/>
      <c r="CF314" s="57"/>
      <c r="CG314" s="57"/>
      <c r="CH314" s="57"/>
      <c r="CI314" s="57"/>
      <c r="CJ314" s="57"/>
      <c r="CK314" s="57"/>
      <c r="CL314" s="57"/>
      <c r="CM314" s="57"/>
      <c r="CN314" s="57"/>
      <c r="CO314" s="57"/>
      <c r="CP314" s="57"/>
      <c r="CQ314" s="57"/>
      <c r="CR314" s="57"/>
      <c r="CS314" s="57"/>
      <c r="CT314" s="57"/>
    </row>
    <row r="315" ht="15.0" customHeight="1">
      <c r="A315" s="51" t="str">
        <f t="shared" si="3"/>
        <v/>
      </c>
      <c r="B315" s="45"/>
      <c r="C315" s="39" t="str">
        <f t="shared" si="1"/>
        <v/>
      </c>
      <c r="D315" s="39" t="str">
        <f t="shared" si="2"/>
        <v/>
      </c>
      <c r="E315" s="45"/>
      <c r="F315" s="45"/>
      <c r="G315" s="45"/>
      <c r="H315" s="52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  <c r="BV315" s="53"/>
      <c r="BW315" s="53"/>
      <c r="BX315" s="53"/>
      <c r="BY315" s="53"/>
      <c r="BZ315" s="53"/>
      <c r="CA315" s="53"/>
      <c r="CB315" s="53"/>
      <c r="CC315" s="53"/>
      <c r="CD315" s="53"/>
      <c r="CE315" s="53"/>
      <c r="CF315" s="53"/>
      <c r="CG315" s="53"/>
      <c r="CH315" s="53"/>
      <c r="CI315" s="53"/>
      <c r="CJ315" s="53"/>
      <c r="CK315" s="53"/>
      <c r="CL315" s="53"/>
      <c r="CM315" s="53"/>
      <c r="CN315" s="53"/>
      <c r="CO315" s="53"/>
      <c r="CP315" s="53"/>
      <c r="CQ315" s="53"/>
      <c r="CR315" s="53"/>
      <c r="CS315" s="53"/>
      <c r="CT315" s="53"/>
    </row>
    <row r="316" ht="15.0" customHeight="1">
      <c r="A316" s="54" t="str">
        <f t="shared" si="3"/>
        <v/>
      </c>
      <c r="B316" s="48"/>
      <c r="C316" s="55" t="str">
        <f t="shared" si="1"/>
        <v/>
      </c>
      <c r="D316" s="55" t="str">
        <f t="shared" si="2"/>
        <v/>
      </c>
      <c r="E316" s="48"/>
      <c r="F316" s="48"/>
      <c r="G316" s="48"/>
      <c r="H316" s="56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57"/>
      <c r="BI316" s="57"/>
      <c r="BJ316" s="57"/>
      <c r="BK316" s="57"/>
      <c r="BL316" s="57"/>
      <c r="BM316" s="57"/>
      <c r="BN316" s="57"/>
      <c r="BO316" s="57"/>
      <c r="BP316" s="57"/>
      <c r="BQ316" s="57"/>
      <c r="BR316" s="57"/>
      <c r="BS316" s="57"/>
      <c r="BT316" s="57"/>
      <c r="BU316" s="57"/>
      <c r="BV316" s="57"/>
      <c r="BW316" s="57"/>
      <c r="BX316" s="57"/>
      <c r="BY316" s="57"/>
      <c r="BZ316" s="57"/>
      <c r="CA316" s="57"/>
      <c r="CB316" s="57"/>
      <c r="CC316" s="57"/>
      <c r="CD316" s="57"/>
      <c r="CE316" s="57"/>
      <c r="CF316" s="57"/>
      <c r="CG316" s="57"/>
      <c r="CH316" s="57"/>
      <c r="CI316" s="57"/>
      <c r="CJ316" s="57"/>
      <c r="CK316" s="57"/>
      <c r="CL316" s="57"/>
      <c r="CM316" s="57"/>
      <c r="CN316" s="57"/>
      <c r="CO316" s="57"/>
      <c r="CP316" s="57"/>
      <c r="CQ316" s="57"/>
      <c r="CR316" s="57"/>
      <c r="CS316" s="57"/>
      <c r="CT316" s="57"/>
    </row>
    <row r="317" ht="15.0" customHeight="1">
      <c r="A317" s="51" t="str">
        <f t="shared" si="3"/>
        <v/>
      </c>
      <c r="B317" s="45"/>
      <c r="C317" s="39" t="str">
        <f t="shared" si="1"/>
        <v/>
      </c>
      <c r="D317" s="39" t="str">
        <f t="shared" si="2"/>
        <v/>
      </c>
      <c r="E317" s="45"/>
      <c r="F317" s="45"/>
      <c r="G317" s="45"/>
      <c r="H317" s="52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  <c r="BE317" s="53"/>
      <c r="BF317" s="53"/>
      <c r="BG317" s="53"/>
      <c r="BH317" s="53"/>
      <c r="BI317" s="53"/>
      <c r="BJ317" s="53"/>
      <c r="BK317" s="53"/>
      <c r="BL317" s="53"/>
      <c r="BM317" s="53"/>
      <c r="BN317" s="53"/>
      <c r="BO317" s="53"/>
      <c r="BP317" s="53"/>
      <c r="BQ317" s="53"/>
      <c r="BR317" s="53"/>
      <c r="BS317" s="53"/>
      <c r="BT317" s="53"/>
      <c r="BU317" s="53"/>
      <c r="BV317" s="53"/>
      <c r="BW317" s="53"/>
      <c r="BX317" s="53"/>
      <c r="BY317" s="53"/>
      <c r="BZ317" s="53"/>
      <c r="CA317" s="53"/>
      <c r="CB317" s="53"/>
      <c r="CC317" s="53"/>
      <c r="CD317" s="53"/>
      <c r="CE317" s="53"/>
      <c r="CF317" s="53"/>
      <c r="CG317" s="53"/>
      <c r="CH317" s="53"/>
      <c r="CI317" s="53"/>
      <c r="CJ317" s="53"/>
      <c r="CK317" s="53"/>
      <c r="CL317" s="53"/>
      <c r="CM317" s="53"/>
      <c r="CN317" s="53"/>
      <c r="CO317" s="53"/>
      <c r="CP317" s="53"/>
      <c r="CQ317" s="53"/>
      <c r="CR317" s="53"/>
      <c r="CS317" s="53"/>
      <c r="CT317" s="53"/>
    </row>
    <row r="318" ht="15.0" customHeight="1">
      <c r="A318" s="54" t="str">
        <f t="shared" si="3"/>
        <v/>
      </c>
      <c r="B318" s="48"/>
      <c r="C318" s="55" t="str">
        <f t="shared" si="1"/>
        <v/>
      </c>
      <c r="D318" s="55" t="str">
        <f t="shared" si="2"/>
        <v/>
      </c>
      <c r="E318" s="48"/>
      <c r="F318" s="48"/>
      <c r="G318" s="48"/>
      <c r="H318" s="56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  <c r="BD318" s="57"/>
      <c r="BE318" s="57"/>
      <c r="BF318" s="57"/>
      <c r="BG318" s="57"/>
      <c r="BH318" s="57"/>
      <c r="BI318" s="57"/>
      <c r="BJ318" s="57"/>
      <c r="BK318" s="57"/>
      <c r="BL318" s="57"/>
      <c r="BM318" s="57"/>
      <c r="BN318" s="57"/>
      <c r="BO318" s="57"/>
      <c r="BP318" s="57"/>
      <c r="BQ318" s="57"/>
      <c r="BR318" s="57"/>
      <c r="BS318" s="57"/>
      <c r="BT318" s="57"/>
      <c r="BU318" s="57"/>
      <c r="BV318" s="57"/>
      <c r="BW318" s="57"/>
      <c r="BX318" s="57"/>
      <c r="BY318" s="57"/>
      <c r="BZ318" s="57"/>
      <c r="CA318" s="57"/>
      <c r="CB318" s="57"/>
      <c r="CC318" s="57"/>
      <c r="CD318" s="57"/>
      <c r="CE318" s="57"/>
      <c r="CF318" s="57"/>
      <c r="CG318" s="57"/>
      <c r="CH318" s="57"/>
      <c r="CI318" s="57"/>
      <c r="CJ318" s="57"/>
      <c r="CK318" s="57"/>
      <c r="CL318" s="57"/>
      <c r="CM318" s="57"/>
      <c r="CN318" s="57"/>
      <c r="CO318" s="57"/>
      <c r="CP318" s="57"/>
      <c r="CQ318" s="57"/>
      <c r="CR318" s="57"/>
      <c r="CS318" s="57"/>
      <c r="CT318" s="57"/>
    </row>
    <row r="319" ht="15.0" customHeight="1">
      <c r="A319" s="51" t="str">
        <f t="shared" si="3"/>
        <v/>
      </c>
      <c r="B319" s="45"/>
      <c r="C319" s="39" t="str">
        <f t="shared" si="1"/>
        <v/>
      </c>
      <c r="D319" s="39" t="str">
        <f t="shared" si="2"/>
        <v/>
      </c>
      <c r="E319" s="45"/>
      <c r="F319" s="45"/>
      <c r="G319" s="45"/>
      <c r="H319" s="52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  <c r="BE319" s="53"/>
      <c r="BF319" s="53"/>
      <c r="BG319" s="53"/>
      <c r="BH319" s="53"/>
      <c r="BI319" s="53"/>
      <c r="BJ319" s="53"/>
      <c r="BK319" s="53"/>
      <c r="BL319" s="53"/>
      <c r="BM319" s="53"/>
      <c r="BN319" s="53"/>
      <c r="BO319" s="53"/>
      <c r="BP319" s="53"/>
      <c r="BQ319" s="53"/>
      <c r="BR319" s="53"/>
      <c r="BS319" s="53"/>
      <c r="BT319" s="53"/>
      <c r="BU319" s="53"/>
      <c r="BV319" s="53"/>
      <c r="BW319" s="53"/>
      <c r="BX319" s="53"/>
      <c r="BY319" s="53"/>
      <c r="BZ319" s="53"/>
      <c r="CA319" s="53"/>
      <c r="CB319" s="53"/>
      <c r="CC319" s="53"/>
      <c r="CD319" s="53"/>
      <c r="CE319" s="53"/>
      <c r="CF319" s="53"/>
      <c r="CG319" s="53"/>
      <c r="CH319" s="53"/>
      <c r="CI319" s="53"/>
      <c r="CJ319" s="53"/>
      <c r="CK319" s="53"/>
      <c r="CL319" s="53"/>
      <c r="CM319" s="53"/>
      <c r="CN319" s="53"/>
      <c r="CO319" s="53"/>
      <c r="CP319" s="53"/>
      <c r="CQ319" s="53"/>
      <c r="CR319" s="53"/>
      <c r="CS319" s="53"/>
      <c r="CT319" s="53"/>
    </row>
    <row r="320" ht="15.0" customHeight="1">
      <c r="A320" s="54" t="str">
        <f t="shared" si="3"/>
        <v/>
      </c>
      <c r="B320" s="48"/>
      <c r="C320" s="55" t="str">
        <f t="shared" si="1"/>
        <v/>
      </c>
      <c r="D320" s="55" t="str">
        <f t="shared" si="2"/>
        <v/>
      </c>
      <c r="E320" s="48"/>
      <c r="F320" s="48"/>
      <c r="G320" s="48"/>
      <c r="H320" s="56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  <c r="BQ320" s="57"/>
      <c r="BR320" s="57"/>
      <c r="BS320" s="57"/>
      <c r="BT320" s="57"/>
      <c r="BU320" s="57"/>
      <c r="BV320" s="57"/>
      <c r="BW320" s="57"/>
      <c r="BX320" s="57"/>
      <c r="BY320" s="57"/>
      <c r="BZ320" s="57"/>
      <c r="CA320" s="57"/>
      <c r="CB320" s="57"/>
      <c r="CC320" s="57"/>
      <c r="CD320" s="57"/>
      <c r="CE320" s="57"/>
      <c r="CF320" s="57"/>
      <c r="CG320" s="57"/>
      <c r="CH320" s="57"/>
      <c r="CI320" s="57"/>
      <c r="CJ320" s="57"/>
      <c r="CK320" s="57"/>
      <c r="CL320" s="57"/>
      <c r="CM320" s="57"/>
      <c r="CN320" s="57"/>
      <c r="CO320" s="57"/>
      <c r="CP320" s="57"/>
      <c r="CQ320" s="57"/>
      <c r="CR320" s="57"/>
      <c r="CS320" s="57"/>
      <c r="CT320" s="57"/>
    </row>
    <row r="321" ht="15.0" customHeight="1">
      <c r="A321" s="51" t="str">
        <f t="shared" si="3"/>
        <v/>
      </c>
      <c r="B321" s="45"/>
      <c r="C321" s="39" t="str">
        <f t="shared" si="1"/>
        <v/>
      </c>
      <c r="D321" s="39" t="str">
        <f t="shared" si="2"/>
        <v/>
      </c>
      <c r="E321" s="45"/>
      <c r="F321" s="45"/>
      <c r="G321" s="45"/>
      <c r="H321" s="52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/>
      <c r="BR321" s="53"/>
      <c r="BS321" s="53"/>
      <c r="BT321" s="53"/>
      <c r="BU321" s="53"/>
      <c r="BV321" s="53"/>
      <c r="BW321" s="53"/>
      <c r="BX321" s="53"/>
      <c r="BY321" s="53"/>
      <c r="BZ321" s="53"/>
      <c r="CA321" s="53"/>
      <c r="CB321" s="53"/>
      <c r="CC321" s="53"/>
      <c r="CD321" s="53"/>
      <c r="CE321" s="53"/>
      <c r="CF321" s="53"/>
      <c r="CG321" s="53"/>
      <c r="CH321" s="53"/>
      <c r="CI321" s="53"/>
      <c r="CJ321" s="53"/>
      <c r="CK321" s="53"/>
      <c r="CL321" s="53"/>
      <c r="CM321" s="53"/>
      <c r="CN321" s="53"/>
      <c r="CO321" s="53"/>
      <c r="CP321" s="53"/>
      <c r="CQ321" s="53"/>
      <c r="CR321" s="53"/>
      <c r="CS321" s="53"/>
      <c r="CT321" s="53"/>
    </row>
    <row r="322" ht="15.0" customHeight="1">
      <c r="A322" s="54" t="str">
        <f t="shared" si="3"/>
        <v/>
      </c>
      <c r="B322" s="48"/>
      <c r="C322" s="55" t="str">
        <f t="shared" si="1"/>
        <v/>
      </c>
      <c r="D322" s="55" t="str">
        <f t="shared" si="2"/>
        <v/>
      </c>
      <c r="E322" s="48"/>
      <c r="F322" s="48"/>
      <c r="G322" s="48"/>
      <c r="H322" s="56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/>
      <c r="BE322" s="57"/>
      <c r="BF322" s="57"/>
      <c r="BG322" s="57"/>
      <c r="BH322" s="57"/>
      <c r="BI322" s="57"/>
      <c r="BJ322" s="57"/>
      <c r="BK322" s="57"/>
      <c r="BL322" s="57"/>
      <c r="BM322" s="57"/>
      <c r="BN322" s="57"/>
      <c r="BO322" s="57"/>
      <c r="BP322" s="57"/>
      <c r="BQ322" s="57"/>
      <c r="BR322" s="57"/>
      <c r="BS322" s="57"/>
      <c r="BT322" s="57"/>
      <c r="BU322" s="57"/>
      <c r="BV322" s="57"/>
      <c r="BW322" s="57"/>
      <c r="BX322" s="57"/>
      <c r="BY322" s="57"/>
      <c r="BZ322" s="57"/>
      <c r="CA322" s="57"/>
      <c r="CB322" s="57"/>
      <c r="CC322" s="57"/>
      <c r="CD322" s="57"/>
      <c r="CE322" s="57"/>
      <c r="CF322" s="57"/>
      <c r="CG322" s="57"/>
      <c r="CH322" s="57"/>
      <c r="CI322" s="57"/>
      <c r="CJ322" s="57"/>
      <c r="CK322" s="57"/>
      <c r="CL322" s="57"/>
      <c r="CM322" s="57"/>
      <c r="CN322" s="57"/>
      <c r="CO322" s="57"/>
      <c r="CP322" s="57"/>
      <c r="CQ322" s="57"/>
      <c r="CR322" s="57"/>
      <c r="CS322" s="57"/>
      <c r="CT322" s="57"/>
    </row>
    <row r="323" ht="15.0" customHeight="1">
      <c r="A323" s="51" t="str">
        <f t="shared" si="3"/>
        <v/>
      </c>
      <c r="B323" s="45"/>
      <c r="C323" s="39" t="str">
        <f t="shared" si="1"/>
        <v/>
      </c>
      <c r="D323" s="39" t="str">
        <f t="shared" si="2"/>
        <v/>
      </c>
      <c r="E323" s="45"/>
      <c r="F323" s="45"/>
      <c r="G323" s="45"/>
      <c r="H323" s="52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  <c r="BE323" s="53"/>
      <c r="BF323" s="53"/>
      <c r="BG323" s="53"/>
      <c r="BH323" s="53"/>
      <c r="BI323" s="53"/>
      <c r="BJ323" s="53"/>
      <c r="BK323" s="53"/>
      <c r="BL323" s="53"/>
      <c r="BM323" s="53"/>
      <c r="BN323" s="53"/>
      <c r="BO323" s="53"/>
      <c r="BP323" s="53"/>
      <c r="BQ323" s="53"/>
      <c r="BR323" s="53"/>
      <c r="BS323" s="53"/>
      <c r="BT323" s="53"/>
      <c r="BU323" s="53"/>
      <c r="BV323" s="53"/>
      <c r="BW323" s="53"/>
      <c r="BX323" s="53"/>
      <c r="BY323" s="53"/>
      <c r="BZ323" s="53"/>
      <c r="CA323" s="53"/>
      <c r="CB323" s="53"/>
      <c r="CC323" s="53"/>
      <c r="CD323" s="53"/>
      <c r="CE323" s="53"/>
      <c r="CF323" s="53"/>
      <c r="CG323" s="53"/>
      <c r="CH323" s="53"/>
      <c r="CI323" s="53"/>
      <c r="CJ323" s="53"/>
      <c r="CK323" s="53"/>
      <c r="CL323" s="53"/>
      <c r="CM323" s="53"/>
      <c r="CN323" s="53"/>
      <c r="CO323" s="53"/>
      <c r="CP323" s="53"/>
      <c r="CQ323" s="53"/>
      <c r="CR323" s="53"/>
      <c r="CS323" s="53"/>
      <c r="CT323" s="53"/>
    </row>
    <row r="324" ht="15.0" customHeight="1">
      <c r="A324" s="54" t="str">
        <f t="shared" si="3"/>
        <v/>
      </c>
      <c r="B324" s="48"/>
      <c r="C324" s="55" t="str">
        <f t="shared" si="1"/>
        <v/>
      </c>
      <c r="D324" s="55" t="str">
        <f t="shared" si="2"/>
        <v/>
      </c>
      <c r="E324" s="48"/>
      <c r="F324" s="48"/>
      <c r="G324" s="48"/>
      <c r="H324" s="56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  <c r="BD324" s="57"/>
      <c r="BE324" s="57"/>
      <c r="BF324" s="57"/>
      <c r="BG324" s="57"/>
      <c r="BH324" s="57"/>
      <c r="BI324" s="57"/>
      <c r="BJ324" s="57"/>
      <c r="BK324" s="57"/>
      <c r="BL324" s="57"/>
      <c r="BM324" s="57"/>
      <c r="BN324" s="57"/>
      <c r="BO324" s="57"/>
      <c r="BP324" s="57"/>
      <c r="BQ324" s="57"/>
      <c r="BR324" s="57"/>
      <c r="BS324" s="57"/>
      <c r="BT324" s="57"/>
      <c r="BU324" s="57"/>
      <c r="BV324" s="57"/>
      <c r="BW324" s="57"/>
      <c r="BX324" s="57"/>
      <c r="BY324" s="57"/>
      <c r="BZ324" s="57"/>
      <c r="CA324" s="57"/>
      <c r="CB324" s="57"/>
      <c r="CC324" s="57"/>
      <c r="CD324" s="57"/>
      <c r="CE324" s="57"/>
      <c r="CF324" s="57"/>
      <c r="CG324" s="57"/>
      <c r="CH324" s="57"/>
      <c r="CI324" s="57"/>
      <c r="CJ324" s="57"/>
      <c r="CK324" s="57"/>
      <c r="CL324" s="57"/>
      <c r="CM324" s="57"/>
      <c r="CN324" s="57"/>
      <c r="CO324" s="57"/>
      <c r="CP324" s="57"/>
      <c r="CQ324" s="57"/>
      <c r="CR324" s="57"/>
      <c r="CS324" s="57"/>
      <c r="CT324" s="57"/>
    </row>
    <row r="325" ht="15.0" customHeight="1">
      <c r="A325" s="51" t="str">
        <f t="shared" si="3"/>
        <v/>
      </c>
      <c r="B325" s="45"/>
      <c r="C325" s="39" t="str">
        <f t="shared" si="1"/>
        <v/>
      </c>
      <c r="D325" s="39" t="str">
        <f t="shared" si="2"/>
        <v/>
      </c>
      <c r="E325" s="45"/>
      <c r="F325" s="45"/>
      <c r="G325" s="45"/>
      <c r="H325" s="52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/>
      <c r="BR325" s="53"/>
      <c r="BS325" s="53"/>
      <c r="BT325" s="53"/>
      <c r="BU325" s="53"/>
      <c r="BV325" s="53"/>
      <c r="BW325" s="53"/>
      <c r="BX325" s="53"/>
      <c r="BY325" s="53"/>
      <c r="BZ325" s="53"/>
      <c r="CA325" s="53"/>
      <c r="CB325" s="53"/>
      <c r="CC325" s="53"/>
      <c r="CD325" s="53"/>
      <c r="CE325" s="53"/>
      <c r="CF325" s="53"/>
      <c r="CG325" s="53"/>
      <c r="CH325" s="53"/>
      <c r="CI325" s="53"/>
      <c r="CJ325" s="53"/>
      <c r="CK325" s="53"/>
      <c r="CL325" s="53"/>
      <c r="CM325" s="53"/>
      <c r="CN325" s="53"/>
      <c r="CO325" s="53"/>
      <c r="CP325" s="53"/>
      <c r="CQ325" s="53"/>
      <c r="CR325" s="53"/>
      <c r="CS325" s="53"/>
      <c r="CT325" s="53"/>
    </row>
    <row r="326" ht="15.0" customHeight="1">
      <c r="A326" s="54" t="str">
        <f t="shared" si="3"/>
        <v/>
      </c>
      <c r="B326" s="48"/>
      <c r="C326" s="55" t="str">
        <f t="shared" si="1"/>
        <v/>
      </c>
      <c r="D326" s="55" t="str">
        <f t="shared" si="2"/>
        <v/>
      </c>
      <c r="E326" s="48"/>
      <c r="F326" s="48"/>
      <c r="G326" s="48"/>
      <c r="H326" s="56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  <c r="BD326" s="57"/>
      <c r="BE326" s="57"/>
      <c r="BF326" s="57"/>
      <c r="BG326" s="57"/>
      <c r="BH326" s="57"/>
      <c r="BI326" s="57"/>
      <c r="BJ326" s="57"/>
      <c r="BK326" s="57"/>
      <c r="BL326" s="57"/>
      <c r="BM326" s="57"/>
      <c r="BN326" s="57"/>
      <c r="BO326" s="57"/>
      <c r="BP326" s="57"/>
      <c r="BQ326" s="57"/>
      <c r="BR326" s="57"/>
      <c r="BS326" s="57"/>
      <c r="BT326" s="57"/>
      <c r="BU326" s="57"/>
      <c r="BV326" s="57"/>
      <c r="BW326" s="57"/>
      <c r="BX326" s="57"/>
      <c r="BY326" s="57"/>
      <c r="BZ326" s="57"/>
      <c r="CA326" s="57"/>
      <c r="CB326" s="57"/>
      <c r="CC326" s="57"/>
      <c r="CD326" s="57"/>
      <c r="CE326" s="57"/>
      <c r="CF326" s="57"/>
      <c r="CG326" s="57"/>
      <c r="CH326" s="57"/>
      <c r="CI326" s="57"/>
      <c r="CJ326" s="57"/>
      <c r="CK326" s="57"/>
      <c r="CL326" s="57"/>
      <c r="CM326" s="57"/>
      <c r="CN326" s="57"/>
      <c r="CO326" s="57"/>
      <c r="CP326" s="57"/>
      <c r="CQ326" s="57"/>
      <c r="CR326" s="57"/>
      <c r="CS326" s="57"/>
      <c r="CT326" s="57"/>
    </row>
    <row r="327" ht="15.0" customHeight="1">
      <c r="A327" s="51" t="str">
        <f t="shared" si="3"/>
        <v/>
      </c>
      <c r="B327" s="45"/>
      <c r="C327" s="39" t="str">
        <f t="shared" si="1"/>
        <v/>
      </c>
      <c r="D327" s="39" t="str">
        <f t="shared" si="2"/>
        <v/>
      </c>
      <c r="E327" s="45"/>
      <c r="F327" s="45"/>
      <c r="G327" s="45"/>
      <c r="H327" s="52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/>
      <c r="BR327" s="53"/>
      <c r="BS327" s="53"/>
      <c r="BT327" s="53"/>
      <c r="BU327" s="53"/>
      <c r="BV327" s="53"/>
      <c r="BW327" s="53"/>
      <c r="BX327" s="53"/>
      <c r="BY327" s="53"/>
      <c r="BZ327" s="53"/>
      <c r="CA327" s="53"/>
      <c r="CB327" s="53"/>
      <c r="CC327" s="53"/>
      <c r="CD327" s="53"/>
      <c r="CE327" s="53"/>
      <c r="CF327" s="53"/>
      <c r="CG327" s="53"/>
      <c r="CH327" s="53"/>
      <c r="CI327" s="53"/>
      <c r="CJ327" s="53"/>
      <c r="CK327" s="53"/>
      <c r="CL327" s="53"/>
      <c r="CM327" s="53"/>
      <c r="CN327" s="53"/>
      <c r="CO327" s="53"/>
      <c r="CP327" s="53"/>
      <c r="CQ327" s="53"/>
      <c r="CR327" s="53"/>
      <c r="CS327" s="53"/>
      <c r="CT327" s="53"/>
    </row>
    <row r="328" ht="15.0" customHeight="1">
      <c r="A328" s="54" t="str">
        <f t="shared" si="3"/>
        <v/>
      </c>
      <c r="B328" s="48"/>
      <c r="C328" s="55" t="str">
        <f t="shared" si="1"/>
        <v/>
      </c>
      <c r="D328" s="55" t="str">
        <f t="shared" si="2"/>
        <v/>
      </c>
      <c r="E328" s="48"/>
      <c r="F328" s="48"/>
      <c r="G328" s="48"/>
      <c r="H328" s="56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57"/>
      <c r="BS328" s="57"/>
      <c r="BT328" s="57"/>
      <c r="BU328" s="57"/>
      <c r="BV328" s="57"/>
      <c r="BW328" s="57"/>
      <c r="BX328" s="57"/>
      <c r="BY328" s="57"/>
      <c r="BZ328" s="57"/>
      <c r="CA328" s="57"/>
      <c r="CB328" s="57"/>
      <c r="CC328" s="57"/>
      <c r="CD328" s="57"/>
      <c r="CE328" s="57"/>
      <c r="CF328" s="57"/>
      <c r="CG328" s="57"/>
      <c r="CH328" s="57"/>
      <c r="CI328" s="57"/>
      <c r="CJ328" s="57"/>
      <c r="CK328" s="57"/>
      <c r="CL328" s="57"/>
      <c r="CM328" s="57"/>
      <c r="CN328" s="57"/>
      <c r="CO328" s="57"/>
      <c r="CP328" s="57"/>
      <c r="CQ328" s="57"/>
      <c r="CR328" s="57"/>
      <c r="CS328" s="57"/>
      <c r="CT328" s="57"/>
    </row>
    <row r="329" ht="15.0" customHeight="1">
      <c r="A329" s="51" t="str">
        <f t="shared" si="3"/>
        <v/>
      </c>
      <c r="B329" s="45"/>
      <c r="C329" s="39" t="str">
        <f t="shared" si="1"/>
        <v/>
      </c>
      <c r="D329" s="39" t="str">
        <f t="shared" si="2"/>
        <v/>
      </c>
      <c r="E329" s="45"/>
      <c r="F329" s="45"/>
      <c r="G329" s="45"/>
      <c r="H329" s="52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/>
      <c r="BR329" s="53"/>
      <c r="BS329" s="53"/>
      <c r="BT329" s="53"/>
      <c r="BU329" s="53"/>
      <c r="BV329" s="53"/>
      <c r="BW329" s="53"/>
      <c r="BX329" s="53"/>
      <c r="BY329" s="53"/>
      <c r="BZ329" s="53"/>
      <c r="CA329" s="53"/>
      <c r="CB329" s="53"/>
      <c r="CC329" s="53"/>
      <c r="CD329" s="53"/>
      <c r="CE329" s="53"/>
      <c r="CF329" s="53"/>
      <c r="CG329" s="53"/>
      <c r="CH329" s="53"/>
      <c r="CI329" s="53"/>
      <c r="CJ329" s="53"/>
      <c r="CK329" s="53"/>
      <c r="CL329" s="53"/>
      <c r="CM329" s="53"/>
      <c r="CN329" s="53"/>
      <c r="CO329" s="53"/>
      <c r="CP329" s="53"/>
      <c r="CQ329" s="53"/>
      <c r="CR329" s="53"/>
      <c r="CS329" s="53"/>
      <c r="CT329" s="53"/>
    </row>
    <row r="330" ht="15.0" customHeight="1">
      <c r="A330" s="54" t="str">
        <f t="shared" si="3"/>
        <v/>
      </c>
      <c r="B330" s="48"/>
      <c r="C330" s="55" t="str">
        <f t="shared" si="1"/>
        <v/>
      </c>
      <c r="D330" s="55" t="str">
        <f t="shared" si="2"/>
        <v/>
      </c>
      <c r="E330" s="48"/>
      <c r="F330" s="48"/>
      <c r="G330" s="48"/>
      <c r="H330" s="56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7"/>
      <c r="BZ330" s="57"/>
      <c r="CA330" s="57"/>
      <c r="CB330" s="57"/>
      <c r="CC330" s="57"/>
      <c r="CD330" s="57"/>
      <c r="CE330" s="57"/>
      <c r="CF330" s="57"/>
      <c r="CG330" s="57"/>
      <c r="CH330" s="57"/>
      <c r="CI330" s="57"/>
      <c r="CJ330" s="57"/>
      <c r="CK330" s="57"/>
      <c r="CL330" s="57"/>
      <c r="CM330" s="57"/>
      <c r="CN330" s="57"/>
      <c r="CO330" s="57"/>
      <c r="CP330" s="57"/>
      <c r="CQ330" s="57"/>
      <c r="CR330" s="57"/>
      <c r="CS330" s="57"/>
      <c r="CT330" s="57"/>
    </row>
    <row r="331" ht="15.0" customHeight="1">
      <c r="A331" s="51" t="str">
        <f t="shared" si="3"/>
        <v/>
      </c>
      <c r="B331" s="45"/>
      <c r="C331" s="39" t="str">
        <f t="shared" si="1"/>
        <v/>
      </c>
      <c r="D331" s="39" t="str">
        <f t="shared" si="2"/>
        <v/>
      </c>
      <c r="E331" s="45"/>
      <c r="F331" s="45"/>
      <c r="G331" s="45"/>
      <c r="H331" s="52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  <c r="CC331" s="53"/>
      <c r="CD331" s="53"/>
      <c r="CE331" s="53"/>
      <c r="CF331" s="53"/>
      <c r="CG331" s="53"/>
      <c r="CH331" s="53"/>
      <c r="CI331" s="53"/>
      <c r="CJ331" s="53"/>
      <c r="CK331" s="53"/>
      <c r="CL331" s="53"/>
      <c r="CM331" s="53"/>
      <c r="CN331" s="53"/>
      <c r="CO331" s="53"/>
      <c r="CP331" s="53"/>
      <c r="CQ331" s="53"/>
      <c r="CR331" s="53"/>
      <c r="CS331" s="53"/>
      <c r="CT331" s="53"/>
    </row>
    <row r="332" ht="15.0" customHeight="1">
      <c r="A332" s="54" t="str">
        <f t="shared" si="3"/>
        <v/>
      </c>
      <c r="B332" s="48"/>
      <c r="C332" s="55" t="str">
        <f t="shared" si="1"/>
        <v/>
      </c>
      <c r="D332" s="55" t="str">
        <f t="shared" si="2"/>
        <v/>
      </c>
      <c r="E332" s="48"/>
      <c r="F332" s="48"/>
      <c r="G332" s="48"/>
      <c r="H332" s="56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  <c r="BV332" s="57"/>
      <c r="BW332" s="57"/>
      <c r="BX332" s="57"/>
      <c r="BY332" s="57"/>
      <c r="BZ332" s="57"/>
      <c r="CA332" s="57"/>
      <c r="CB332" s="57"/>
      <c r="CC332" s="57"/>
      <c r="CD332" s="57"/>
      <c r="CE332" s="57"/>
      <c r="CF332" s="57"/>
      <c r="CG332" s="57"/>
      <c r="CH332" s="57"/>
      <c r="CI332" s="57"/>
      <c r="CJ332" s="57"/>
      <c r="CK332" s="57"/>
      <c r="CL332" s="57"/>
      <c r="CM332" s="57"/>
      <c r="CN332" s="57"/>
      <c r="CO332" s="57"/>
      <c r="CP332" s="57"/>
      <c r="CQ332" s="57"/>
      <c r="CR332" s="57"/>
      <c r="CS332" s="57"/>
      <c r="CT332" s="57"/>
    </row>
    <row r="333" ht="15.0" customHeight="1">
      <c r="A333" s="51" t="str">
        <f t="shared" si="3"/>
        <v/>
      </c>
      <c r="B333" s="45"/>
      <c r="C333" s="39" t="str">
        <f t="shared" si="1"/>
        <v/>
      </c>
      <c r="D333" s="39" t="str">
        <f t="shared" si="2"/>
        <v/>
      </c>
      <c r="E333" s="45"/>
      <c r="F333" s="45"/>
      <c r="G333" s="45"/>
      <c r="H333" s="52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/>
      <c r="BR333" s="53"/>
      <c r="BS333" s="53"/>
      <c r="BT333" s="53"/>
      <c r="BU333" s="53"/>
      <c r="BV333" s="53"/>
      <c r="BW333" s="53"/>
      <c r="BX333" s="53"/>
      <c r="BY333" s="53"/>
      <c r="BZ333" s="53"/>
      <c r="CA333" s="53"/>
      <c r="CB333" s="53"/>
      <c r="CC333" s="53"/>
      <c r="CD333" s="53"/>
      <c r="CE333" s="53"/>
      <c r="CF333" s="53"/>
      <c r="CG333" s="53"/>
      <c r="CH333" s="53"/>
      <c r="CI333" s="53"/>
      <c r="CJ333" s="53"/>
      <c r="CK333" s="53"/>
      <c r="CL333" s="53"/>
      <c r="CM333" s="53"/>
      <c r="CN333" s="53"/>
      <c r="CO333" s="53"/>
      <c r="CP333" s="53"/>
      <c r="CQ333" s="53"/>
      <c r="CR333" s="53"/>
      <c r="CS333" s="53"/>
      <c r="CT333" s="53"/>
    </row>
    <row r="334" ht="15.0" customHeight="1">
      <c r="A334" s="54" t="str">
        <f t="shared" si="3"/>
        <v/>
      </c>
      <c r="B334" s="48"/>
      <c r="C334" s="55" t="str">
        <f t="shared" si="1"/>
        <v/>
      </c>
      <c r="D334" s="55" t="str">
        <f t="shared" si="2"/>
        <v/>
      </c>
      <c r="E334" s="48"/>
      <c r="F334" s="48"/>
      <c r="G334" s="48"/>
      <c r="H334" s="56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57"/>
      <c r="BS334" s="57"/>
      <c r="BT334" s="57"/>
      <c r="BU334" s="57"/>
      <c r="BV334" s="57"/>
      <c r="BW334" s="57"/>
      <c r="BX334" s="57"/>
      <c r="BY334" s="57"/>
      <c r="BZ334" s="57"/>
      <c r="CA334" s="57"/>
      <c r="CB334" s="57"/>
      <c r="CC334" s="57"/>
      <c r="CD334" s="57"/>
      <c r="CE334" s="57"/>
      <c r="CF334" s="57"/>
      <c r="CG334" s="57"/>
      <c r="CH334" s="57"/>
      <c r="CI334" s="57"/>
      <c r="CJ334" s="57"/>
      <c r="CK334" s="57"/>
      <c r="CL334" s="57"/>
      <c r="CM334" s="57"/>
      <c r="CN334" s="57"/>
      <c r="CO334" s="57"/>
      <c r="CP334" s="57"/>
      <c r="CQ334" s="57"/>
      <c r="CR334" s="57"/>
      <c r="CS334" s="57"/>
      <c r="CT334" s="57"/>
    </row>
    <row r="335" ht="15.0" customHeight="1">
      <c r="A335" s="51" t="str">
        <f t="shared" si="3"/>
        <v/>
      </c>
      <c r="B335" s="45"/>
      <c r="C335" s="39" t="str">
        <f t="shared" si="1"/>
        <v/>
      </c>
      <c r="D335" s="39" t="str">
        <f t="shared" si="2"/>
        <v/>
      </c>
      <c r="E335" s="45"/>
      <c r="F335" s="45"/>
      <c r="G335" s="45"/>
      <c r="H335" s="52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  <c r="BM335" s="53"/>
      <c r="BN335" s="53"/>
      <c r="BO335" s="53"/>
      <c r="BP335" s="53"/>
      <c r="BQ335" s="53"/>
      <c r="BR335" s="53"/>
      <c r="BS335" s="53"/>
      <c r="BT335" s="53"/>
      <c r="BU335" s="53"/>
      <c r="BV335" s="53"/>
      <c r="BW335" s="53"/>
      <c r="BX335" s="53"/>
      <c r="BY335" s="53"/>
      <c r="BZ335" s="53"/>
      <c r="CA335" s="53"/>
      <c r="CB335" s="53"/>
      <c r="CC335" s="53"/>
      <c r="CD335" s="53"/>
      <c r="CE335" s="53"/>
      <c r="CF335" s="53"/>
      <c r="CG335" s="53"/>
      <c r="CH335" s="53"/>
      <c r="CI335" s="53"/>
      <c r="CJ335" s="53"/>
      <c r="CK335" s="53"/>
      <c r="CL335" s="53"/>
      <c r="CM335" s="53"/>
      <c r="CN335" s="53"/>
      <c r="CO335" s="53"/>
      <c r="CP335" s="53"/>
      <c r="CQ335" s="53"/>
      <c r="CR335" s="53"/>
      <c r="CS335" s="53"/>
      <c r="CT335" s="53"/>
    </row>
    <row r="336" ht="15.0" customHeight="1">
      <c r="A336" s="54" t="str">
        <f t="shared" si="3"/>
        <v/>
      </c>
      <c r="B336" s="48"/>
      <c r="C336" s="55" t="str">
        <f t="shared" si="1"/>
        <v/>
      </c>
      <c r="D336" s="55" t="str">
        <f t="shared" si="2"/>
        <v/>
      </c>
      <c r="E336" s="48"/>
      <c r="F336" s="48"/>
      <c r="G336" s="48"/>
      <c r="H336" s="56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7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57"/>
      <c r="BS336" s="57"/>
      <c r="BT336" s="57"/>
      <c r="BU336" s="57"/>
      <c r="BV336" s="57"/>
      <c r="BW336" s="57"/>
      <c r="BX336" s="57"/>
      <c r="BY336" s="57"/>
      <c r="BZ336" s="57"/>
      <c r="CA336" s="57"/>
      <c r="CB336" s="57"/>
      <c r="CC336" s="57"/>
      <c r="CD336" s="57"/>
      <c r="CE336" s="57"/>
      <c r="CF336" s="57"/>
      <c r="CG336" s="57"/>
      <c r="CH336" s="57"/>
      <c r="CI336" s="57"/>
      <c r="CJ336" s="57"/>
      <c r="CK336" s="57"/>
      <c r="CL336" s="57"/>
      <c r="CM336" s="57"/>
      <c r="CN336" s="57"/>
      <c r="CO336" s="57"/>
      <c r="CP336" s="57"/>
      <c r="CQ336" s="57"/>
      <c r="CR336" s="57"/>
      <c r="CS336" s="57"/>
      <c r="CT336" s="57"/>
    </row>
    <row r="337" ht="15.0" customHeight="1">
      <c r="A337" s="51" t="str">
        <f t="shared" si="3"/>
        <v/>
      </c>
      <c r="B337" s="45"/>
      <c r="C337" s="39" t="str">
        <f t="shared" si="1"/>
        <v/>
      </c>
      <c r="D337" s="39" t="str">
        <f t="shared" si="2"/>
        <v/>
      </c>
      <c r="E337" s="45"/>
      <c r="F337" s="45"/>
      <c r="G337" s="45"/>
      <c r="H337" s="52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  <c r="BV337" s="53"/>
      <c r="BW337" s="53"/>
      <c r="BX337" s="53"/>
      <c r="BY337" s="53"/>
      <c r="BZ337" s="53"/>
      <c r="CA337" s="53"/>
      <c r="CB337" s="53"/>
      <c r="CC337" s="53"/>
      <c r="CD337" s="53"/>
      <c r="CE337" s="53"/>
      <c r="CF337" s="53"/>
      <c r="CG337" s="53"/>
      <c r="CH337" s="53"/>
      <c r="CI337" s="53"/>
      <c r="CJ337" s="53"/>
      <c r="CK337" s="53"/>
      <c r="CL337" s="53"/>
      <c r="CM337" s="53"/>
      <c r="CN337" s="53"/>
      <c r="CO337" s="53"/>
      <c r="CP337" s="53"/>
      <c r="CQ337" s="53"/>
      <c r="CR337" s="53"/>
      <c r="CS337" s="53"/>
      <c r="CT337" s="53"/>
    </row>
    <row r="338" ht="15.0" customHeight="1">
      <c r="A338" s="54" t="str">
        <f t="shared" si="3"/>
        <v/>
      </c>
      <c r="B338" s="48"/>
      <c r="C338" s="55" t="str">
        <f t="shared" si="1"/>
        <v/>
      </c>
      <c r="D338" s="55" t="str">
        <f t="shared" si="2"/>
        <v/>
      </c>
      <c r="E338" s="48"/>
      <c r="F338" s="48"/>
      <c r="G338" s="48"/>
      <c r="H338" s="56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/>
      <c r="BS338" s="57"/>
      <c r="BT338" s="57"/>
      <c r="BU338" s="57"/>
      <c r="BV338" s="57"/>
      <c r="BW338" s="57"/>
      <c r="BX338" s="57"/>
      <c r="BY338" s="57"/>
      <c r="BZ338" s="57"/>
      <c r="CA338" s="57"/>
      <c r="CB338" s="57"/>
      <c r="CC338" s="57"/>
      <c r="CD338" s="57"/>
      <c r="CE338" s="57"/>
      <c r="CF338" s="57"/>
      <c r="CG338" s="57"/>
      <c r="CH338" s="57"/>
      <c r="CI338" s="57"/>
      <c r="CJ338" s="57"/>
      <c r="CK338" s="57"/>
      <c r="CL338" s="57"/>
      <c r="CM338" s="57"/>
      <c r="CN338" s="57"/>
      <c r="CO338" s="57"/>
      <c r="CP338" s="57"/>
      <c r="CQ338" s="57"/>
      <c r="CR338" s="57"/>
      <c r="CS338" s="57"/>
      <c r="CT338" s="57"/>
    </row>
    <row r="339" ht="15.0" customHeight="1">
      <c r="A339" s="51" t="str">
        <f t="shared" si="3"/>
        <v/>
      </c>
      <c r="B339" s="45"/>
      <c r="C339" s="39" t="str">
        <f t="shared" si="1"/>
        <v/>
      </c>
      <c r="D339" s="39" t="str">
        <f t="shared" si="2"/>
        <v/>
      </c>
      <c r="E339" s="45"/>
      <c r="F339" s="45"/>
      <c r="G339" s="45"/>
      <c r="H339" s="52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53"/>
      <c r="BI339" s="53"/>
      <c r="BJ339" s="53"/>
      <c r="BK339" s="53"/>
      <c r="BL339" s="53"/>
      <c r="BM339" s="53"/>
      <c r="BN339" s="53"/>
      <c r="BO339" s="53"/>
      <c r="BP339" s="53"/>
      <c r="BQ339" s="53"/>
      <c r="BR339" s="53"/>
      <c r="BS339" s="53"/>
      <c r="BT339" s="53"/>
      <c r="BU339" s="53"/>
      <c r="BV339" s="53"/>
      <c r="BW339" s="53"/>
      <c r="BX339" s="53"/>
      <c r="BY339" s="53"/>
      <c r="BZ339" s="53"/>
      <c r="CA339" s="53"/>
      <c r="CB339" s="53"/>
      <c r="CC339" s="53"/>
      <c r="CD339" s="53"/>
      <c r="CE339" s="53"/>
      <c r="CF339" s="53"/>
      <c r="CG339" s="53"/>
      <c r="CH339" s="53"/>
      <c r="CI339" s="53"/>
      <c r="CJ339" s="53"/>
      <c r="CK339" s="53"/>
      <c r="CL339" s="53"/>
      <c r="CM339" s="53"/>
      <c r="CN339" s="53"/>
      <c r="CO339" s="53"/>
      <c r="CP339" s="53"/>
      <c r="CQ339" s="53"/>
      <c r="CR339" s="53"/>
      <c r="CS339" s="53"/>
      <c r="CT339" s="53"/>
    </row>
    <row r="340" ht="15.0" customHeight="1">
      <c r="A340" s="54" t="str">
        <f t="shared" si="3"/>
        <v/>
      </c>
      <c r="B340" s="48"/>
      <c r="C340" s="55" t="str">
        <f t="shared" si="1"/>
        <v/>
      </c>
      <c r="D340" s="55" t="str">
        <f t="shared" si="2"/>
        <v/>
      </c>
      <c r="E340" s="48"/>
      <c r="F340" s="48"/>
      <c r="G340" s="48"/>
      <c r="H340" s="56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57"/>
      <c r="BS340" s="57"/>
      <c r="BT340" s="57"/>
      <c r="BU340" s="57"/>
      <c r="BV340" s="57"/>
      <c r="BW340" s="57"/>
      <c r="BX340" s="57"/>
      <c r="BY340" s="57"/>
      <c r="BZ340" s="57"/>
      <c r="CA340" s="57"/>
      <c r="CB340" s="57"/>
      <c r="CC340" s="57"/>
      <c r="CD340" s="57"/>
      <c r="CE340" s="57"/>
      <c r="CF340" s="57"/>
      <c r="CG340" s="57"/>
      <c r="CH340" s="57"/>
      <c r="CI340" s="57"/>
      <c r="CJ340" s="57"/>
      <c r="CK340" s="57"/>
      <c r="CL340" s="57"/>
      <c r="CM340" s="57"/>
      <c r="CN340" s="57"/>
      <c r="CO340" s="57"/>
      <c r="CP340" s="57"/>
      <c r="CQ340" s="57"/>
      <c r="CR340" s="57"/>
      <c r="CS340" s="57"/>
      <c r="CT340" s="57"/>
    </row>
    <row r="341" ht="15.0" customHeight="1">
      <c r="A341" s="51" t="str">
        <f t="shared" si="3"/>
        <v/>
      </c>
      <c r="B341" s="45"/>
      <c r="C341" s="39" t="str">
        <f t="shared" si="1"/>
        <v/>
      </c>
      <c r="D341" s="39" t="str">
        <f t="shared" si="2"/>
        <v/>
      </c>
      <c r="E341" s="45"/>
      <c r="F341" s="45"/>
      <c r="G341" s="45"/>
      <c r="H341" s="52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3"/>
      <c r="BF341" s="53"/>
      <c r="BG341" s="53"/>
      <c r="BH341" s="53"/>
      <c r="BI341" s="53"/>
      <c r="BJ341" s="53"/>
      <c r="BK341" s="53"/>
      <c r="BL341" s="53"/>
      <c r="BM341" s="53"/>
      <c r="BN341" s="53"/>
      <c r="BO341" s="53"/>
      <c r="BP341" s="53"/>
      <c r="BQ341" s="53"/>
      <c r="BR341" s="53"/>
      <c r="BS341" s="53"/>
      <c r="BT341" s="53"/>
      <c r="BU341" s="53"/>
      <c r="BV341" s="53"/>
      <c r="BW341" s="53"/>
      <c r="BX341" s="53"/>
      <c r="BY341" s="53"/>
      <c r="BZ341" s="53"/>
      <c r="CA341" s="53"/>
      <c r="CB341" s="53"/>
      <c r="CC341" s="53"/>
      <c r="CD341" s="53"/>
      <c r="CE341" s="53"/>
      <c r="CF341" s="53"/>
      <c r="CG341" s="53"/>
      <c r="CH341" s="53"/>
      <c r="CI341" s="53"/>
      <c r="CJ341" s="53"/>
      <c r="CK341" s="53"/>
      <c r="CL341" s="53"/>
      <c r="CM341" s="53"/>
      <c r="CN341" s="53"/>
      <c r="CO341" s="53"/>
      <c r="CP341" s="53"/>
      <c r="CQ341" s="53"/>
      <c r="CR341" s="53"/>
      <c r="CS341" s="53"/>
      <c r="CT341" s="53"/>
    </row>
    <row r="342" ht="15.0" customHeight="1">
      <c r="A342" s="54" t="str">
        <f t="shared" si="3"/>
        <v/>
      </c>
      <c r="B342" s="48"/>
      <c r="C342" s="55" t="str">
        <f t="shared" si="1"/>
        <v/>
      </c>
      <c r="D342" s="55" t="str">
        <f t="shared" si="2"/>
        <v/>
      </c>
      <c r="E342" s="48"/>
      <c r="F342" s="48"/>
      <c r="G342" s="48"/>
      <c r="H342" s="56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57"/>
      <c r="BS342" s="57"/>
      <c r="BT342" s="57"/>
      <c r="BU342" s="57"/>
      <c r="BV342" s="57"/>
      <c r="BW342" s="57"/>
      <c r="BX342" s="57"/>
      <c r="BY342" s="57"/>
      <c r="BZ342" s="57"/>
      <c r="CA342" s="57"/>
      <c r="CB342" s="57"/>
      <c r="CC342" s="57"/>
      <c r="CD342" s="57"/>
      <c r="CE342" s="57"/>
      <c r="CF342" s="57"/>
      <c r="CG342" s="57"/>
      <c r="CH342" s="57"/>
      <c r="CI342" s="57"/>
      <c r="CJ342" s="57"/>
      <c r="CK342" s="57"/>
      <c r="CL342" s="57"/>
      <c r="CM342" s="57"/>
      <c r="CN342" s="57"/>
      <c r="CO342" s="57"/>
      <c r="CP342" s="57"/>
      <c r="CQ342" s="57"/>
      <c r="CR342" s="57"/>
      <c r="CS342" s="57"/>
      <c r="CT342" s="57"/>
    </row>
    <row r="343" ht="15.0" customHeight="1">
      <c r="A343" s="51" t="str">
        <f t="shared" si="3"/>
        <v/>
      </c>
      <c r="B343" s="45"/>
      <c r="C343" s="39" t="str">
        <f t="shared" si="1"/>
        <v/>
      </c>
      <c r="D343" s="39" t="str">
        <f t="shared" si="2"/>
        <v/>
      </c>
      <c r="E343" s="45"/>
      <c r="F343" s="45"/>
      <c r="G343" s="45"/>
      <c r="H343" s="52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3"/>
      <c r="BN343" s="53"/>
      <c r="BO343" s="53"/>
      <c r="BP343" s="53"/>
      <c r="BQ343" s="53"/>
      <c r="BR343" s="53"/>
      <c r="BS343" s="53"/>
      <c r="BT343" s="53"/>
      <c r="BU343" s="53"/>
      <c r="BV343" s="53"/>
      <c r="BW343" s="53"/>
      <c r="BX343" s="53"/>
      <c r="BY343" s="53"/>
      <c r="BZ343" s="53"/>
      <c r="CA343" s="53"/>
      <c r="CB343" s="53"/>
      <c r="CC343" s="53"/>
      <c r="CD343" s="53"/>
      <c r="CE343" s="53"/>
      <c r="CF343" s="53"/>
      <c r="CG343" s="53"/>
      <c r="CH343" s="53"/>
      <c r="CI343" s="53"/>
      <c r="CJ343" s="53"/>
      <c r="CK343" s="53"/>
      <c r="CL343" s="53"/>
      <c r="CM343" s="53"/>
      <c r="CN343" s="53"/>
      <c r="CO343" s="53"/>
      <c r="CP343" s="53"/>
      <c r="CQ343" s="53"/>
      <c r="CR343" s="53"/>
      <c r="CS343" s="53"/>
      <c r="CT343" s="53"/>
    </row>
    <row r="344" ht="15.0" customHeight="1">
      <c r="A344" s="54" t="str">
        <f t="shared" si="3"/>
        <v/>
      </c>
      <c r="B344" s="48"/>
      <c r="C344" s="55" t="str">
        <f t="shared" si="1"/>
        <v/>
      </c>
      <c r="D344" s="55" t="str">
        <f t="shared" si="2"/>
        <v/>
      </c>
      <c r="E344" s="48"/>
      <c r="F344" s="48"/>
      <c r="G344" s="48"/>
      <c r="H344" s="56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  <c r="BV344" s="57"/>
      <c r="BW344" s="57"/>
      <c r="BX344" s="57"/>
      <c r="BY344" s="57"/>
      <c r="BZ344" s="57"/>
      <c r="CA344" s="57"/>
      <c r="CB344" s="57"/>
      <c r="CC344" s="57"/>
      <c r="CD344" s="57"/>
      <c r="CE344" s="57"/>
      <c r="CF344" s="57"/>
      <c r="CG344" s="57"/>
      <c r="CH344" s="57"/>
      <c r="CI344" s="57"/>
      <c r="CJ344" s="57"/>
      <c r="CK344" s="57"/>
      <c r="CL344" s="57"/>
      <c r="CM344" s="57"/>
      <c r="CN344" s="57"/>
      <c r="CO344" s="57"/>
      <c r="CP344" s="57"/>
      <c r="CQ344" s="57"/>
      <c r="CR344" s="57"/>
      <c r="CS344" s="57"/>
      <c r="CT344" s="57"/>
    </row>
    <row r="345" ht="15.0" customHeight="1">
      <c r="A345" s="51" t="str">
        <f t="shared" si="3"/>
        <v/>
      </c>
      <c r="B345" s="45"/>
      <c r="C345" s="39" t="str">
        <f t="shared" si="1"/>
        <v/>
      </c>
      <c r="D345" s="39" t="str">
        <f t="shared" si="2"/>
        <v/>
      </c>
      <c r="E345" s="45"/>
      <c r="F345" s="45"/>
      <c r="G345" s="45"/>
      <c r="H345" s="52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  <c r="BV345" s="53"/>
      <c r="BW345" s="53"/>
      <c r="BX345" s="53"/>
      <c r="BY345" s="53"/>
      <c r="BZ345" s="53"/>
      <c r="CA345" s="53"/>
      <c r="CB345" s="53"/>
      <c r="CC345" s="53"/>
      <c r="CD345" s="53"/>
      <c r="CE345" s="53"/>
      <c r="CF345" s="53"/>
      <c r="CG345" s="53"/>
      <c r="CH345" s="53"/>
      <c r="CI345" s="53"/>
      <c r="CJ345" s="53"/>
      <c r="CK345" s="53"/>
      <c r="CL345" s="53"/>
      <c r="CM345" s="53"/>
      <c r="CN345" s="53"/>
      <c r="CO345" s="53"/>
      <c r="CP345" s="53"/>
      <c r="CQ345" s="53"/>
      <c r="CR345" s="53"/>
      <c r="CS345" s="53"/>
      <c r="CT345" s="53"/>
    </row>
    <row r="346" ht="15.0" customHeight="1">
      <c r="A346" s="54" t="str">
        <f t="shared" si="3"/>
        <v/>
      </c>
      <c r="B346" s="48"/>
      <c r="C346" s="55" t="str">
        <f t="shared" si="1"/>
        <v/>
      </c>
      <c r="D346" s="55" t="str">
        <f t="shared" si="2"/>
        <v/>
      </c>
      <c r="E346" s="48"/>
      <c r="F346" s="48"/>
      <c r="G346" s="48"/>
      <c r="H346" s="56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7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  <c r="BV346" s="57"/>
      <c r="BW346" s="57"/>
      <c r="BX346" s="57"/>
      <c r="BY346" s="57"/>
      <c r="BZ346" s="57"/>
      <c r="CA346" s="57"/>
      <c r="CB346" s="57"/>
      <c r="CC346" s="57"/>
      <c r="CD346" s="57"/>
      <c r="CE346" s="57"/>
      <c r="CF346" s="57"/>
      <c r="CG346" s="57"/>
      <c r="CH346" s="57"/>
      <c r="CI346" s="57"/>
      <c r="CJ346" s="57"/>
      <c r="CK346" s="57"/>
      <c r="CL346" s="57"/>
      <c r="CM346" s="57"/>
      <c r="CN346" s="57"/>
      <c r="CO346" s="57"/>
      <c r="CP346" s="57"/>
      <c r="CQ346" s="57"/>
      <c r="CR346" s="57"/>
      <c r="CS346" s="57"/>
      <c r="CT346" s="57"/>
    </row>
    <row r="347" ht="15.0" customHeight="1">
      <c r="A347" s="51" t="str">
        <f t="shared" si="3"/>
        <v/>
      </c>
      <c r="B347" s="45"/>
      <c r="C347" s="39" t="str">
        <f t="shared" si="1"/>
        <v/>
      </c>
      <c r="D347" s="39" t="str">
        <f t="shared" si="2"/>
        <v/>
      </c>
      <c r="E347" s="45"/>
      <c r="F347" s="45"/>
      <c r="G347" s="45"/>
      <c r="H347" s="52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3"/>
      <c r="BN347" s="53"/>
      <c r="BO347" s="53"/>
      <c r="BP347" s="53"/>
      <c r="BQ347" s="53"/>
      <c r="BR347" s="53"/>
      <c r="BS347" s="53"/>
      <c r="BT347" s="53"/>
      <c r="BU347" s="53"/>
      <c r="BV347" s="53"/>
      <c r="BW347" s="53"/>
      <c r="BX347" s="53"/>
      <c r="BY347" s="53"/>
      <c r="BZ347" s="53"/>
      <c r="CA347" s="53"/>
      <c r="CB347" s="53"/>
      <c r="CC347" s="53"/>
      <c r="CD347" s="53"/>
      <c r="CE347" s="53"/>
      <c r="CF347" s="53"/>
      <c r="CG347" s="53"/>
      <c r="CH347" s="53"/>
      <c r="CI347" s="53"/>
      <c r="CJ347" s="53"/>
      <c r="CK347" s="53"/>
      <c r="CL347" s="53"/>
      <c r="CM347" s="53"/>
      <c r="CN347" s="53"/>
      <c r="CO347" s="53"/>
      <c r="CP347" s="53"/>
      <c r="CQ347" s="53"/>
      <c r="CR347" s="53"/>
      <c r="CS347" s="53"/>
      <c r="CT347" s="53"/>
    </row>
    <row r="348" ht="15.0" customHeight="1">
      <c r="A348" s="54" t="str">
        <f t="shared" si="3"/>
        <v/>
      </c>
      <c r="B348" s="48"/>
      <c r="C348" s="55" t="str">
        <f t="shared" si="1"/>
        <v/>
      </c>
      <c r="D348" s="55" t="str">
        <f t="shared" si="2"/>
        <v/>
      </c>
      <c r="E348" s="48"/>
      <c r="F348" s="48"/>
      <c r="G348" s="48"/>
      <c r="H348" s="56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7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  <c r="BV348" s="57"/>
      <c r="BW348" s="57"/>
      <c r="BX348" s="57"/>
      <c r="BY348" s="57"/>
      <c r="BZ348" s="57"/>
      <c r="CA348" s="57"/>
      <c r="CB348" s="57"/>
      <c r="CC348" s="57"/>
      <c r="CD348" s="57"/>
      <c r="CE348" s="57"/>
      <c r="CF348" s="57"/>
      <c r="CG348" s="57"/>
      <c r="CH348" s="57"/>
      <c r="CI348" s="57"/>
      <c r="CJ348" s="57"/>
      <c r="CK348" s="57"/>
      <c r="CL348" s="57"/>
      <c r="CM348" s="57"/>
      <c r="CN348" s="57"/>
      <c r="CO348" s="57"/>
      <c r="CP348" s="57"/>
      <c r="CQ348" s="57"/>
      <c r="CR348" s="57"/>
      <c r="CS348" s="57"/>
      <c r="CT348" s="57"/>
    </row>
    <row r="349" ht="15.0" customHeight="1">
      <c r="A349" s="51" t="str">
        <f t="shared" si="3"/>
        <v/>
      </c>
      <c r="B349" s="45"/>
      <c r="C349" s="39" t="str">
        <f t="shared" si="1"/>
        <v/>
      </c>
      <c r="D349" s="39" t="str">
        <f t="shared" si="2"/>
        <v/>
      </c>
      <c r="E349" s="45"/>
      <c r="F349" s="45"/>
      <c r="G349" s="45"/>
      <c r="H349" s="52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  <c r="BV349" s="53"/>
      <c r="BW349" s="53"/>
      <c r="BX349" s="53"/>
      <c r="BY349" s="53"/>
      <c r="BZ349" s="53"/>
      <c r="CA349" s="53"/>
      <c r="CB349" s="53"/>
      <c r="CC349" s="53"/>
      <c r="CD349" s="53"/>
      <c r="CE349" s="53"/>
      <c r="CF349" s="53"/>
      <c r="CG349" s="53"/>
      <c r="CH349" s="53"/>
      <c r="CI349" s="53"/>
      <c r="CJ349" s="53"/>
      <c r="CK349" s="53"/>
      <c r="CL349" s="53"/>
      <c r="CM349" s="53"/>
      <c r="CN349" s="53"/>
      <c r="CO349" s="53"/>
      <c r="CP349" s="53"/>
      <c r="CQ349" s="53"/>
      <c r="CR349" s="53"/>
      <c r="CS349" s="53"/>
      <c r="CT349" s="53"/>
    </row>
    <row r="350" ht="15.0" customHeight="1">
      <c r="A350" s="54" t="str">
        <f t="shared" si="3"/>
        <v/>
      </c>
      <c r="B350" s="48"/>
      <c r="C350" s="55" t="str">
        <f t="shared" si="1"/>
        <v/>
      </c>
      <c r="D350" s="55" t="str">
        <f t="shared" si="2"/>
        <v/>
      </c>
      <c r="E350" s="48"/>
      <c r="F350" s="48"/>
      <c r="G350" s="48"/>
      <c r="H350" s="56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  <c r="BD350" s="57"/>
      <c r="BE350" s="57"/>
      <c r="BF350" s="57"/>
      <c r="BG350" s="57"/>
      <c r="BH350" s="57"/>
      <c r="BI350" s="57"/>
      <c r="BJ350" s="57"/>
      <c r="BK350" s="57"/>
      <c r="BL350" s="57"/>
      <c r="BM350" s="57"/>
      <c r="BN350" s="57"/>
      <c r="BO350" s="57"/>
      <c r="BP350" s="57"/>
      <c r="BQ350" s="57"/>
      <c r="BR350" s="57"/>
      <c r="BS350" s="57"/>
      <c r="BT350" s="57"/>
      <c r="BU350" s="57"/>
      <c r="BV350" s="57"/>
      <c r="BW350" s="57"/>
      <c r="BX350" s="57"/>
      <c r="BY350" s="57"/>
      <c r="BZ350" s="57"/>
      <c r="CA350" s="57"/>
      <c r="CB350" s="57"/>
      <c r="CC350" s="57"/>
      <c r="CD350" s="57"/>
      <c r="CE350" s="57"/>
      <c r="CF350" s="57"/>
      <c r="CG350" s="57"/>
      <c r="CH350" s="57"/>
      <c r="CI350" s="57"/>
      <c r="CJ350" s="57"/>
      <c r="CK350" s="57"/>
      <c r="CL350" s="57"/>
      <c r="CM350" s="57"/>
      <c r="CN350" s="57"/>
      <c r="CO350" s="57"/>
      <c r="CP350" s="57"/>
      <c r="CQ350" s="57"/>
      <c r="CR350" s="57"/>
      <c r="CS350" s="57"/>
      <c r="CT350" s="57"/>
    </row>
    <row r="351" ht="15.0" customHeight="1">
      <c r="A351" s="51" t="str">
        <f t="shared" si="3"/>
        <v/>
      </c>
      <c r="B351" s="45"/>
      <c r="C351" s="39" t="str">
        <f t="shared" si="1"/>
        <v/>
      </c>
      <c r="D351" s="39" t="str">
        <f t="shared" si="2"/>
        <v/>
      </c>
      <c r="E351" s="45"/>
      <c r="F351" s="45"/>
      <c r="G351" s="45"/>
      <c r="H351" s="52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/>
      <c r="BR351" s="53"/>
      <c r="BS351" s="53"/>
      <c r="BT351" s="53"/>
      <c r="BU351" s="53"/>
      <c r="BV351" s="53"/>
      <c r="BW351" s="53"/>
      <c r="BX351" s="53"/>
      <c r="BY351" s="53"/>
      <c r="BZ351" s="53"/>
      <c r="CA351" s="53"/>
      <c r="CB351" s="53"/>
      <c r="CC351" s="53"/>
      <c r="CD351" s="53"/>
      <c r="CE351" s="53"/>
      <c r="CF351" s="53"/>
      <c r="CG351" s="53"/>
      <c r="CH351" s="53"/>
      <c r="CI351" s="53"/>
      <c r="CJ351" s="53"/>
      <c r="CK351" s="53"/>
      <c r="CL351" s="53"/>
      <c r="CM351" s="53"/>
      <c r="CN351" s="53"/>
      <c r="CO351" s="53"/>
      <c r="CP351" s="53"/>
      <c r="CQ351" s="53"/>
      <c r="CR351" s="53"/>
      <c r="CS351" s="53"/>
      <c r="CT351" s="53"/>
    </row>
    <row r="352" ht="15.0" customHeight="1">
      <c r="A352" s="54" t="str">
        <f t="shared" si="3"/>
        <v/>
      </c>
      <c r="B352" s="48"/>
      <c r="C352" s="55" t="str">
        <f t="shared" si="1"/>
        <v/>
      </c>
      <c r="D352" s="55" t="str">
        <f t="shared" si="2"/>
        <v/>
      </c>
      <c r="E352" s="48"/>
      <c r="F352" s="48"/>
      <c r="G352" s="48"/>
      <c r="H352" s="56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  <c r="BD352" s="57"/>
      <c r="BE352" s="57"/>
      <c r="BF352" s="57"/>
      <c r="BG352" s="57"/>
      <c r="BH352" s="57"/>
      <c r="BI352" s="57"/>
      <c r="BJ352" s="57"/>
      <c r="BK352" s="57"/>
      <c r="BL352" s="57"/>
      <c r="BM352" s="57"/>
      <c r="BN352" s="57"/>
      <c r="BO352" s="57"/>
      <c r="BP352" s="57"/>
      <c r="BQ352" s="57"/>
      <c r="BR352" s="57"/>
      <c r="BS352" s="57"/>
      <c r="BT352" s="57"/>
      <c r="BU352" s="57"/>
      <c r="BV352" s="57"/>
      <c r="BW352" s="57"/>
      <c r="BX352" s="57"/>
      <c r="BY352" s="57"/>
      <c r="BZ352" s="57"/>
      <c r="CA352" s="57"/>
      <c r="CB352" s="57"/>
      <c r="CC352" s="57"/>
      <c r="CD352" s="57"/>
      <c r="CE352" s="57"/>
      <c r="CF352" s="57"/>
      <c r="CG352" s="57"/>
      <c r="CH352" s="57"/>
      <c r="CI352" s="57"/>
      <c r="CJ352" s="57"/>
      <c r="CK352" s="57"/>
      <c r="CL352" s="57"/>
      <c r="CM352" s="57"/>
      <c r="CN352" s="57"/>
      <c r="CO352" s="57"/>
      <c r="CP352" s="57"/>
      <c r="CQ352" s="57"/>
      <c r="CR352" s="57"/>
      <c r="CS352" s="57"/>
      <c r="CT352" s="57"/>
    </row>
    <row r="353" ht="15.0" customHeight="1">
      <c r="A353" s="51" t="str">
        <f t="shared" si="3"/>
        <v/>
      </c>
      <c r="B353" s="45"/>
      <c r="C353" s="39" t="str">
        <f t="shared" si="1"/>
        <v/>
      </c>
      <c r="D353" s="39" t="str">
        <f t="shared" si="2"/>
        <v/>
      </c>
      <c r="E353" s="45"/>
      <c r="F353" s="45"/>
      <c r="G353" s="45"/>
      <c r="H353" s="52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/>
      <c r="BR353" s="53"/>
      <c r="BS353" s="53"/>
      <c r="BT353" s="53"/>
      <c r="BU353" s="53"/>
      <c r="BV353" s="53"/>
      <c r="BW353" s="53"/>
      <c r="BX353" s="53"/>
      <c r="BY353" s="53"/>
      <c r="BZ353" s="53"/>
      <c r="CA353" s="53"/>
      <c r="CB353" s="53"/>
      <c r="CC353" s="53"/>
      <c r="CD353" s="53"/>
      <c r="CE353" s="53"/>
      <c r="CF353" s="53"/>
      <c r="CG353" s="53"/>
      <c r="CH353" s="53"/>
      <c r="CI353" s="53"/>
      <c r="CJ353" s="53"/>
      <c r="CK353" s="53"/>
      <c r="CL353" s="53"/>
      <c r="CM353" s="53"/>
      <c r="CN353" s="53"/>
      <c r="CO353" s="53"/>
      <c r="CP353" s="53"/>
      <c r="CQ353" s="53"/>
      <c r="CR353" s="53"/>
      <c r="CS353" s="53"/>
      <c r="CT353" s="53"/>
    </row>
    <row r="354" ht="15.0" customHeight="1">
      <c r="A354" s="54" t="str">
        <f t="shared" si="3"/>
        <v/>
      </c>
      <c r="B354" s="48"/>
      <c r="C354" s="55" t="str">
        <f t="shared" si="1"/>
        <v/>
      </c>
      <c r="D354" s="55" t="str">
        <f t="shared" si="2"/>
        <v/>
      </c>
      <c r="E354" s="48"/>
      <c r="F354" s="48"/>
      <c r="G354" s="48"/>
      <c r="H354" s="56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  <c r="BD354" s="57"/>
      <c r="BE354" s="57"/>
      <c r="BF354" s="57"/>
      <c r="BG354" s="57"/>
      <c r="BH354" s="57"/>
      <c r="BI354" s="57"/>
      <c r="BJ354" s="57"/>
      <c r="BK354" s="57"/>
      <c r="BL354" s="57"/>
      <c r="BM354" s="57"/>
      <c r="BN354" s="57"/>
      <c r="BO354" s="57"/>
      <c r="BP354" s="57"/>
      <c r="BQ354" s="57"/>
      <c r="BR354" s="57"/>
      <c r="BS354" s="57"/>
      <c r="BT354" s="57"/>
      <c r="BU354" s="57"/>
      <c r="BV354" s="57"/>
      <c r="BW354" s="57"/>
      <c r="BX354" s="57"/>
      <c r="BY354" s="57"/>
      <c r="BZ354" s="57"/>
      <c r="CA354" s="57"/>
      <c r="CB354" s="57"/>
      <c r="CC354" s="57"/>
      <c r="CD354" s="57"/>
      <c r="CE354" s="57"/>
      <c r="CF354" s="57"/>
      <c r="CG354" s="57"/>
      <c r="CH354" s="57"/>
      <c r="CI354" s="57"/>
      <c r="CJ354" s="57"/>
      <c r="CK354" s="57"/>
      <c r="CL354" s="57"/>
      <c r="CM354" s="57"/>
      <c r="CN354" s="57"/>
      <c r="CO354" s="57"/>
      <c r="CP354" s="57"/>
      <c r="CQ354" s="57"/>
      <c r="CR354" s="57"/>
      <c r="CS354" s="57"/>
      <c r="CT354" s="57"/>
    </row>
    <row r="355" ht="15.0" customHeight="1">
      <c r="A355" s="51" t="str">
        <f t="shared" si="3"/>
        <v/>
      </c>
      <c r="B355" s="45"/>
      <c r="C355" s="39" t="str">
        <f t="shared" si="1"/>
        <v/>
      </c>
      <c r="D355" s="39" t="str">
        <f t="shared" si="2"/>
        <v/>
      </c>
      <c r="E355" s="45"/>
      <c r="F355" s="45"/>
      <c r="G355" s="45"/>
      <c r="H355" s="52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3"/>
      <c r="BN355" s="53"/>
      <c r="BO355" s="53"/>
      <c r="BP355" s="53"/>
      <c r="BQ355" s="53"/>
      <c r="BR355" s="53"/>
      <c r="BS355" s="53"/>
      <c r="BT355" s="53"/>
      <c r="BU355" s="53"/>
      <c r="BV355" s="53"/>
      <c r="BW355" s="53"/>
      <c r="BX355" s="53"/>
      <c r="BY355" s="53"/>
      <c r="BZ355" s="53"/>
      <c r="CA355" s="53"/>
      <c r="CB355" s="53"/>
      <c r="CC355" s="53"/>
      <c r="CD355" s="53"/>
      <c r="CE355" s="53"/>
      <c r="CF355" s="53"/>
      <c r="CG355" s="53"/>
      <c r="CH355" s="53"/>
      <c r="CI355" s="53"/>
      <c r="CJ355" s="53"/>
      <c r="CK355" s="53"/>
      <c r="CL355" s="53"/>
      <c r="CM355" s="53"/>
      <c r="CN355" s="53"/>
      <c r="CO355" s="53"/>
      <c r="CP355" s="53"/>
      <c r="CQ355" s="53"/>
      <c r="CR355" s="53"/>
      <c r="CS355" s="53"/>
      <c r="CT355" s="53"/>
    </row>
    <row r="356" ht="15.0" customHeight="1">
      <c r="A356" s="54" t="str">
        <f t="shared" si="3"/>
        <v/>
      </c>
      <c r="B356" s="48"/>
      <c r="C356" s="55" t="str">
        <f t="shared" si="1"/>
        <v/>
      </c>
      <c r="D356" s="55" t="str">
        <f t="shared" si="2"/>
        <v/>
      </c>
      <c r="E356" s="48"/>
      <c r="F356" s="48"/>
      <c r="G356" s="48"/>
      <c r="H356" s="56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  <c r="BD356" s="57"/>
      <c r="BE356" s="57"/>
      <c r="BF356" s="57"/>
      <c r="BG356" s="57"/>
      <c r="BH356" s="57"/>
      <c r="BI356" s="57"/>
      <c r="BJ356" s="57"/>
      <c r="BK356" s="57"/>
      <c r="BL356" s="57"/>
      <c r="BM356" s="57"/>
      <c r="BN356" s="57"/>
      <c r="BO356" s="57"/>
      <c r="BP356" s="57"/>
      <c r="BQ356" s="57"/>
      <c r="BR356" s="57"/>
      <c r="BS356" s="57"/>
      <c r="BT356" s="57"/>
      <c r="BU356" s="57"/>
      <c r="BV356" s="57"/>
      <c r="BW356" s="57"/>
      <c r="BX356" s="57"/>
      <c r="BY356" s="57"/>
      <c r="BZ356" s="57"/>
      <c r="CA356" s="57"/>
      <c r="CB356" s="57"/>
      <c r="CC356" s="57"/>
      <c r="CD356" s="57"/>
      <c r="CE356" s="57"/>
      <c r="CF356" s="57"/>
      <c r="CG356" s="57"/>
      <c r="CH356" s="57"/>
      <c r="CI356" s="57"/>
      <c r="CJ356" s="57"/>
      <c r="CK356" s="57"/>
      <c r="CL356" s="57"/>
      <c r="CM356" s="57"/>
      <c r="CN356" s="57"/>
      <c r="CO356" s="57"/>
      <c r="CP356" s="57"/>
      <c r="CQ356" s="57"/>
      <c r="CR356" s="57"/>
      <c r="CS356" s="57"/>
      <c r="CT356" s="57"/>
    </row>
    <row r="357" ht="15.0" customHeight="1">
      <c r="A357" s="51" t="str">
        <f t="shared" si="3"/>
        <v/>
      </c>
      <c r="B357" s="45"/>
      <c r="C357" s="39" t="str">
        <f t="shared" si="1"/>
        <v/>
      </c>
      <c r="D357" s="39" t="str">
        <f t="shared" si="2"/>
        <v/>
      </c>
      <c r="E357" s="45"/>
      <c r="F357" s="45"/>
      <c r="G357" s="45"/>
      <c r="H357" s="52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  <c r="CD357" s="53"/>
      <c r="CE357" s="53"/>
      <c r="CF357" s="53"/>
      <c r="CG357" s="53"/>
      <c r="CH357" s="53"/>
      <c r="CI357" s="53"/>
      <c r="CJ357" s="53"/>
      <c r="CK357" s="53"/>
      <c r="CL357" s="53"/>
      <c r="CM357" s="53"/>
      <c r="CN357" s="53"/>
      <c r="CO357" s="53"/>
      <c r="CP357" s="53"/>
      <c r="CQ357" s="53"/>
      <c r="CR357" s="53"/>
      <c r="CS357" s="53"/>
      <c r="CT357" s="53"/>
    </row>
    <row r="358" ht="15.0" customHeight="1">
      <c r="A358" s="54" t="str">
        <f t="shared" si="3"/>
        <v/>
      </c>
      <c r="B358" s="48"/>
      <c r="C358" s="55" t="str">
        <f t="shared" si="1"/>
        <v/>
      </c>
      <c r="D358" s="55" t="str">
        <f t="shared" si="2"/>
        <v/>
      </c>
      <c r="E358" s="48"/>
      <c r="F358" s="48"/>
      <c r="G358" s="48"/>
      <c r="H358" s="56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  <c r="BD358" s="57"/>
      <c r="BE358" s="57"/>
      <c r="BF358" s="57"/>
      <c r="BG358" s="57"/>
      <c r="BH358" s="57"/>
      <c r="BI358" s="57"/>
      <c r="BJ358" s="57"/>
      <c r="BK358" s="57"/>
      <c r="BL358" s="57"/>
      <c r="BM358" s="57"/>
      <c r="BN358" s="57"/>
      <c r="BO358" s="57"/>
      <c r="BP358" s="57"/>
      <c r="BQ358" s="57"/>
      <c r="BR358" s="57"/>
      <c r="BS358" s="57"/>
      <c r="BT358" s="57"/>
      <c r="BU358" s="57"/>
      <c r="BV358" s="57"/>
      <c r="BW358" s="57"/>
      <c r="BX358" s="57"/>
      <c r="BY358" s="57"/>
      <c r="BZ358" s="57"/>
      <c r="CA358" s="57"/>
      <c r="CB358" s="57"/>
      <c r="CC358" s="57"/>
      <c r="CD358" s="57"/>
      <c r="CE358" s="57"/>
      <c r="CF358" s="57"/>
      <c r="CG358" s="57"/>
      <c r="CH358" s="57"/>
      <c r="CI358" s="57"/>
      <c r="CJ358" s="57"/>
      <c r="CK358" s="57"/>
      <c r="CL358" s="57"/>
      <c r="CM358" s="57"/>
      <c r="CN358" s="57"/>
      <c r="CO358" s="57"/>
      <c r="CP358" s="57"/>
      <c r="CQ358" s="57"/>
      <c r="CR358" s="57"/>
      <c r="CS358" s="57"/>
      <c r="CT358" s="57"/>
    </row>
    <row r="359" ht="15.0" customHeight="1">
      <c r="A359" s="51" t="str">
        <f t="shared" si="3"/>
        <v/>
      </c>
      <c r="B359" s="45"/>
      <c r="C359" s="39" t="str">
        <f t="shared" si="1"/>
        <v/>
      </c>
      <c r="D359" s="39" t="str">
        <f t="shared" si="2"/>
        <v/>
      </c>
      <c r="E359" s="45"/>
      <c r="F359" s="45"/>
      <c r="G359" s="45"/>
      <c r="H359" s="52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/>
      <c r="BR359" s="53"/>
      <c r="BS359" s="53"/>
      <c r="BT359" s="53"/>
      <c r="BU359" s="53"/>
      <c r="BV359" s="53"/>
      <c r="BW359" s="53"/>
      <c r="BX359" s="53"/>
      <c r="BY359" s="53"/>
      <c r="BZ359" s="53"/>
      <c r="CA359" s="53"/>
      <c r="CB359" s="53"/>
      <c r="CC359" s="53"/>
      <c r="CD359" s="53"/>
      <c r="CE359" s="53"/>
      <c r="CF359" s="53"/>
      <c r="CG359" s="53"/>
      <c r="CH359" s="53"/>
      <c r="CI359" s="53"/>
      <c r="CJ359" s="53"/>
      <c r="CK359" s="53"/>
      <c r="CL359" s="53"/>
      <c r="CM359" s="53"/>
      <c r="CN359" s="53"/>
      <c r="CO359" s="53"/>
      <c r="CP359" s="53"/>
      <c r="CQ359" s="53"/>
      <c r="CR359" s="53"/>
      <c r="CS359" s="53"/>
      <c r="CT359" s="53"/>
    </row>
    <row r="360" ht="15.0" customHeight="1">
      <c r="A360" s="54" t="str">
        <f t="shared" si="3"/>
        <v/>
      </c>
      <c r="B360" s="48"/>
      <c r="C360" s="55" t="str">
        <f t="shared" si="1"/>
        <v/>
      </c>
      <c r="D360" s="55" t="str">
        <f t="shared" si="2"/>
        <v/>
      </c>
      <c r="E360" s="48"/>
      <c r="F360" s="48"/>
      <c r="G360" s="48"/>
      <c r="H360" s="56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/>
      <c r="BE360" s="57"/>
      <c r="BF360" s="57"/>
      <c r="BG360" s="57"/>
      <c r="BH360" s="57"/>
      <c r="BI360" s="57"/>
      <c r="BJ360" s="57"/>
      <c r="BK360" s="57"/>
      <c r="BL360" s="57"/>
      <c r="BM360" s="57"/>
      <c r="BN360" s="57"/>
      <c r="BO360" s="57"/>
      <c r="BP360" s="57"/>
      <c r="BQ360" s="57"/>
      <c r="BR360" s="57"/>
      <c r="BS360" s="57"/>
      <c r="BT360" s="57"/>
      <c r="BU360" s="57"/>
      <c r="BV360" s="57"/>
      <c r="BW360" s="57"/>
      <c r="BX360" s="57"/>
      <c r="BY360" s="57"/>
      <c r="BZ360" s="57"/>
      <c r="CA360" s="57"/>
      <c r="CB360" s="57"/>
      <c r="CC360" s="57"/>
      <c r="CD360" s="57"/>
      <c r="CE360" s="57"/>
      <c r="CF360" s="57"/>
      <c r="CG360" s="57"/>
      <c r="CH360" s="57"/>
      <c r="CI360" s="57"/>
      <c r="CJ360" s="57"/>
      <c r="CK360" s="57"/>
      <c r="CL360" s="57"/>
      <c r="CM360" s="57"/>
      <c r="CN360" s="57"/>
      <c r="CO360" s="57"/>
      <c r="CP360" s="57"/>
      <c r="CQ360" s="57"/>
      <c r="CR360" s="57"/>
      <c r="CS360" s="57"/>
      <c r="CT360" s="57"/>
    </row>
    <row r="361" ht="15.0" customHeight="1">
      <c r="A361" s="51" t="str">
        <f t="shared" si="3"/>
        <v/>
      </c>
      <c r="B361" s="45"/>
      <c r="C361" s="39" t="str">
        <f t="shared" si="1"/>
        <v/>
      </c>
      <c r="D361" s="39" t="str">
        <f t="shared" si="2"/>
        <v/>
      </c>
      <c r="E361" s="45"/>
      <c r="F361" s="45"/>
      <c r="G361" s="45"/>
      <c r="H361" s="52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  <c r="BV361" s="53"/>
      <c r="BW361" s="53"/>
      <c r="BX361" s="53"/>
      <c r="BY361" s="53"/>
      <c r="BZ361" s="53"/>
      <c r="CA361" s="53"/>
      <c r="CB361" s="53"/>
      <c r="CC361" s="53"/>
      <c r="CD361" s="53"/>
      <c r="CE361" s="53"/>
      <c r="CF361" s="53"/>
      <c r="CG361" s="53"/>
      <c r="CH361" s="53"/>
      <c r="CI361" s="53"/>
      <c r="CJ361" s="53"/>
      <c r="CK361" s="53"/>
      <c r="CL361" s="53"/>
      <c r="CM361" s="53"/>
      <c r="CN361" s="53"/>
      <c r="CO361" s="53"/>
      <c r="CP361" s="53"/>
      <c r="CQ361" s="53"/>
      <c r="CR361" s="53"/>
      <c r="CS361" s="53"/>
      <c r="CT361" s="53"/>
    </row>
    <row r="362" ht="15.0" customHeight="1">
      <c r="A362" s="54" t="str">
        <f t="shared" si="3"/>
        <v/>
      </c>
      <c r="B362" s="48"/>
      <c r="C362" s="55" t="str">
        <f t="shared" si="1"/>
        <v/>
      </c>
      <c r="D362" s="55" t="str">
        <f t="shared" si="2"/>
        <v/>
      </c>
      <c r="E362" s="48"/>
      <c r="F362" s="48"/>
      <c r="G362" s="48"/>
      <c r="H362" s="56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  <c r="BD362" s="57"/>
      <c r="BE362" s="57"/>
      <c r="BF362" s="57"/>
      <c r="BG362" s="57"/>
      <c r="BH362" s="57"/>
      <c r="BI362" s="57"/>
      <c r="BJ362" s="57"/>
      <c r="BK362" s="57"/>
      <c r="BL362" s="57"/>
      <c r="BM362" s="57"/>
      <c r="BN362" s="57"/>
      <c r="BO362" s="57"/>
      <c r="BP362" s="57"/>
      <c r="BQ362" s="57"/>
      <c r="BR362" s="57"/>
      <c r="BS362" s="57"/>
      <c r="BT362" s="57"/>
      <c r="BU362" s="57"/>
      <c r="BV362" s="57"/>
      <c r="BW362" s="57"/>
      <c r="BX362" s="57"/>
      <c r="BY362" s="57"/>
      <c r="BZ362" s="57"/>
      <c r="CA362" s="57"/>
      <c r="CB362" s="57"/>
      <c r="CC362" s="57"/>
      <c r="CD362" s="57"/>
      <c r="CE362" s="57"/>
      <c r="CF362" s="57"/>
      <c r="CG362" s="57"/>
      <c r="CH362" s="57"/>
      <c r="CI362" s="57"/>
      <c r="CJ362" s="57"/>
      <c r="CK362" s="57"/>
      <c r="CL362" s="57"/>
      <c r="CM362" s="57"/>
      <c r="CN362" s="57"/>
      <c r="CO362" s="57"/>
      <c r="CP362" s="57"/>
      <c r="CQ362" s="57"/>
      <c r="CR362" s="57"/>
      <c r="CS362" s="57"/>
      <c r="CT362" s="57"/>
    </row>
    <row r="363" ht="15.0" customHeight="1">
      <c r="A363" s="51" t="str">
        <f t="shared" si="3"/>
        <v/>
      </c>
      <c r="B363" s="45"/>
      <c r="C363" s="39" t="str">
        <f t="shared" si="1"/>
        <v/>
      </c>
      <c r="D363" s="39" t="str">
        <f t="shared" si="2"/>
        <v/>
      </c>
      <c r="E363" s="45"/>
      <c r="F363" s="45"/>
      <c r="G363" s="45"/>
      <c r="H363" s="52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3"/>
      <c r="BN363" s="53"/>
      <c r="BO363" s="53"/>
      <c r="BP363" s="53"/>
      <c r="BQ363" s="53"/>
      <c r="BR363" s="53"/>
      <c r="BS363" s="53"/>
      <c r="BT363" s="53"/>
      <c r="BU363" s="53"/>
      <c r="BV363" s="53"/>
      <c r="BW363" s="53"/>
      <c r="BX363" s="53"/>
      <c r="BY363" s="53"/>
      <c r="BZ363" s="53"/>
      <c r="CA363" s="53"/>
      <c r="CB363" s="53"/>
      <c r="CC363" s="53"/>
      <c r="CD363" s="53"/>
      <c r="CE363" s="53"/>
      <c r="CF363" s="53"/>
      <c r="CG363" s="53"/>
      <c r="CH363" s="53"/>
      <c r="CI363" s="53"/>
      <c r="CJ363" s="53"/>
      <c r="CK363" s="53"/>
      <c r="CL363" s="53"/>
      <c r="CM363" s="53"/>
      <c r="CN363" s="53"/>
      <c r="CO363" s="53"/>
      <c r="CP363" s="53"/>
      <c r="CQ363" s="53"/>
      <c r="CR363" s="53"/>
      <c r="CS363" s="53"/>
      <c r="CT363" s="53"/>
    </row>
    <row r="364" ht="15.0" customHeight="1">
      <c r="A364" s="54" t="str">
        <f t="shared" si="3"/>
        <v/>
      </c>
      <c r="B364" s="48"/>
      <c r="C364" s="55" t="str">
        <f t="shared" si="1"/>
        <v/>
      </c>
      <c r="D364" s="55" t="str">
        <f t="shared" si="2"/>
        <v/>
      </c>
      <c r="E364" s="48"/>
      <c r="F364" s="48"/>
      <c r="G364" s="48"/>
      <c r="H364" s="56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  <c r="BD364" s="57"/>
      <c r="BE364" s="57"/>
      <c r="BF364" s="57"/>
      <c r="BG364" s="57"/>
      <c r="BH364" s="57"/>
      <c r="BI364" s="57"/>
      <c r="BJ364" s="57"/>
      <c r="BK364" s="57"/>
      <c r="BL364" s="57"/>
      <c r="BM364" s="57"/>
      <c r="BN364" s="57"/>
      <c r="BO364" s="57"/>
      <c r="BP364" s="57"/>
      <c r="BQ364" s="57"/>
      <c r="BR364" s="57"/>
      <c r="BS364" s="57"/>
      <c r="BT364" s="57"/>
      <c r="BU364" s="57"/>
      <c r="BV364" s="57"/>
      <c r="BW364" s="57"/>
      <c r="BX364" s="57"/>
      <c r="BY364" s="57"/>
      <c r="BZ364" s="57"/>
      <c r="CA364" s="57"/>
      <c r="CB364" s="57"/>
      <c r="CC364" s="57"/>
      <c r="CD364" s="57"/>
      <c r="CE364" s="57"/>
      <c r="CF364" s="57"/>
      <c r="CG364" s="57"/>
      <c r="CH364" s="57"/>
      <c r="CI364" s="57"/>
      <c r="CJ364" s="57"/>
      <c r="CK364" s="57"/>
      <c r="CL364" s="57"/>
      <c r="CM364" s="57"/>
      <c r="CN364" s="57"/>
      <c r="CO364" s="57"/>
      <c r="CP364" s="57"/>
      <c r="CQ364" s="57"/>
      <c r="CR364" s="57"/>
      <c r="CS364" s="57"/>
      <c r="CT364" s="57"/>
    </row>
    <row r="365" ht="15.0" customHeight="1">
      <c r="A365" s="51" t="str">
        <f t="shared" si="3"/>
        <v/>
      </c>
      <c r="B365" s="45"/>
      <c r="C365" s="39" t="str">
        <f t="shared" si="1"/>
        <v/>
      </c>
      <c r="D365" s="39" t="str">
        <f t="shared" si="2"/>
        <v/>
      </c>
      <c r="E365" s="45"/>
      <c r="F365" s="45"/>
      <c r="G365" s="45"/>
      <c r="H365" s="52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3"/>
      <c r="BN365" s="53"/>
      <c r="BO365" s="53"/>
      <c r="BP365" s="53"/>
      <c r="BQ365" s="53"/>
      <c r="BR365" s="53"/>
      <c r="BS365" s="53"/>
      <c r="BT365" s="53"/>
      <c r="BU365" s="53"/>
      <c r="BV365" s="53"/>
      <c r="BW365" s="53"/>
      <c r="BX365" s="53"/>
      <c r="BY365" s="53"/>
      <c r="BZ365" s="53"/>
      <c r="CA365" s="53"/>
      <c r="CB365" s="53"/>
      <c r="CC365" s="53"/>
      <c r="CD365" s="53"/>
      <c r="CE365" s="53"/>
      <c r="CF365" s="53"/>
      <c r="CG365" s="53"/>
      <c r="CH365" s="53"/>
      <c r="CI365" s="53"/>
      <c r="CJ365" s="53"/>
      <c r="CK365" s="53"/>
      <c r="CL365" s="53"/>
      <c r="CM365" s="53"/>
      <c r="CN365" s="53"/>
      <c r="CO365" s="53"/>
      <c r="CP365" s="53"/>
      <c r="CQ365" s="53"/>
      <c r="CR365" s="53"/>
      <c r="CS365" s="53"/>
      <c r="CT365" s="53"/>
    </row>
    <row r="366" ht="15.0" customHeight="1">
      <c r="A366" s="54" t="str">
        <f t="shared" si="3"/>
        <v/>
      </c>
      <c r="B366" s="48"/>
      <c r="C366" s="55" t="str">
        <f t="shared" si="1"/>
        <v/>
      </c>
      <c r="D366" s="55" t="str">
        <f t="shared" si="2"/>
        <v/>
      </c>
      <c r="E366" s="48"/>
      <c r="F366" s="48"/>
      <c r="G366" s="48"/>
      <c r="H366" s="56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/>
      <c r="BE366" s="57"/>
      <c r="BF366" s="57"/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  <c r="BQ366" s="57"/>
      <c r="BR366" s="57"/>
      <c r="BS366" s="57"/>
      <c r="BT366" s="57"/>
      <c r="BU366" s="57"/>
      <c r="BV366" s="57"/>
      <c r="BW366" s="57"/>
      <c r="BX366" s="57"/>
      <c r="BY366" s="57"/>
      <c r="BZ366" s="57"/>
      <c r="CA366" s="57"/>
      <c r="CB366" s="57"/>
      <c r="CC366" s="57"/>
      <c r="CD366" s="57"/>
      <c r="CE366" s="57"/>
      <c r="CF366" s="57"/>
      <c r="CG366" s="57"/>
      <c r="CH366" s="57"/>
      <c r="CI366" s="57"/>
      <c r="CJ366" s="57"/>
      <c r="CK366" s="57"/>
      <c r="CL366" s="57"/>
      <c r="CM366" s="57"/>
      <c r="CN366" s="57"/>
      <c r="CO366" s="57"/>
      <c r="CP366" s="57"/>
      <c r="CQ366" s="57"/>
      <c r="CR366" s="57"/>
      <c r="CS366" s="57"/>
      <c r="CT366" s="57"/>
    </row>
    <row r="367" ht="15.0" customHeight="1">
      <c r="A367" s="51" t="str">
        <f t="shared" si="3"/>
        <v/>
      </c>
      <c r="B367" s="45"/>
      <c r="C367" s="39" t="str">
        <f t="shared" si="1"/>
        <v/>
      </c>
      <c r="D367" s="39" t="str">
        <f t="shared" si="2"/>
        <v/>
      </c>
      <c r="E367" s="45"/>
      <c r="F367" s="45"/>
      <c r="G367" s="45"/>
      <c r="H367" s="52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3"/>
      <c r="BN367" s="53"/>
      <c r="BO367" s="53"/>
      <c r="BP367" s="53"/>
      <c r="BQ367" s="53"/>
      <c r="BR367" s="53"/>
      <c r="BS367" s="53"/>
      <c r="BT367" s="53"/>
      <c r="BU367" s="53"/>
      <c r="BV367" s="53"/>
      <c r="BW367" s="53"/>
      <c r="BX367" s="53"/>
      <c r="BY367" s="53"/>
      <c r="BZ367" s="53"/>
      <c r="CA367" s="53"/>
      <c r="CB367" s="53"/>
      <c r="CC367" s="53"/>
      <c r="CD367" s="53"/>
      <c r="CE367" s="53"/>
      <c r="CF367" s="53"/>
      <c r="CG367" s="53"/>
      <c r="CH367" s="53"/>
      <c r="CI367" s="53"/>
      <c r="CJ367" s="53"/>
      <c r="CK367" s="53"/>
      <c r="CL367" s="53"/>
      <c r="CM367" s="53"/>
      <c r="CN367" s="53"/>
      <c r="CO367" s="53"/>
      <c r="CP367" s="53"/>
      <c r="CQ367" s="53"/>
      <c r="CR367" s="53"/>
      <c r="CS367" s="53"/>
      <c r="CT367" s="53"/>
    </row>
    <row r="368" ht="15.0" customHeight="1">
      <c r="A368" s="54" t="str">
        <f t="shared" si="3"/>
        <v/>
      </c>
      <c r="B368" s="48"/>
      <c r="C368" s="55" t="str">
        <f t="shared" si="1"/>
        <v/>
      </c>
      <c r="D368" s="55" t="str">
        <f t="shared" si="2"/>
        <v/>
      </c>
      <c r="E368" s="48"/>
      <c r="F368" s="48"/>
      <c r="G368" s="48"/>
      <c r="H368" s="56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/>
      <c r="BE368" s="57"/>
      <c r="BF368" s="57"/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  <c r="BQ368" s="57"/>
      <c r="BR368" s="57"/>
      <c r="BS368" s="57"/>
      <c r="BT368" s="57"/>
      <c r="BU368" s="57"/>
      <c r="BV368" s="57"/>
      <c r="BW368" s="57"/>
      <c r="BX368" s="57"/>
      <c r="BY368" s="57"/>
      <c r="BZ368" s="57"/>
      <c r="CA368" s="57"/>
      <c r="CB368" s="57"/>
      <c r="CC368" s="57"/>
      <c r="CD368" s="57"/>
      <c r="CE368" s="57"/>
      <c r="CF368" s="57"/>
      <c r="CG368" s="57"/>
      <c r="CH368" s="57"/>
      <c r="CI368" s="57"/>
      <c r="CJ368" s="57"/>
      <c r="CK368" s="57"/>
      <c r="CL368" s="57"/>
      <c r="CM368" s="57"/>
      <c r="CN368" s="57"/>
      <c r="CO368" s="57"/>
      <c r="CP368" s="57"/>
      <c r="CQ368" s="57"/>
      <c r="CR368" s="57"/>
      <c r="CS368" s="57"/>
      <c r="CT368" s="57"/>
    </row>
    <row r="369" ht="15.0" customHeight="1">
      <c r="A369" s="51" t="str">
        <f t="shared" si="3"/>
        <v/>
      </c>
      <c r="B369" s="45"/>
      <c r="C369" s="39" t="str">
        <f t="shared" si="1"/>
        <v/>
      </c>
      <c r="D369" s="39" t="str">
        <f t="shared" si="2"/>
        <v/>
      </c>
      <c r="E369" s="45"/>
      <c r="F369" s="45"/>
      <c r="G369" s="45"/>
      <c r="H369" s="52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  <c r="CD369" s="53"/>
      <c r="CE369" s="53"/>
      <c r="CF369" s="53"/>
      <c r="CG369" s="53"/>
      <c r="CH369" s="53"/>
      <c r="CI369" s="53"/>
      <c r="CJ369" s="53"/>
      <c r="CK369" s="53"/>
      <c r="CL369" s="53"/>
      <c r="CM369" s="53"/>
      <c r="CN369" s="53"/>
      <c r="CO369" s="53"/>
      <c r="CP369" s="53"/>
      <c r="CQ369" s="53"/>
      <c r="CR369" s="53"/>
      <c r="CS369" s="53"/>
      <c r="CT369" s="53"/>
    </row>
    <row r="370" ht="15.0" customHeight="1">
      <c r="A370" s="54" t="str">
        <f t="shared" si="3"/>
        <v/>
      </c>
      <c r="B370" s="48"/>
      <c r="C370" s="55" t="str">
        <f t="shared" si="1"/>
        <v/>
      </c>
      <c r="D370" s="55" t="str">
        <f t="shared" si="2"/>
        <v/>
      </c>
      <c r="E370" s="48"/>
      <c r="F370" s="48"/>
      <c r="G370" s="48"/>
      <c r="H370" s="56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  <c r="BD370" s="57"/>
      <c r="BE370" s="57"/>
      <c r="BF370" s="57"/>
      <c r="BG370" s="57"/>
      <c r="BH370" s="57"/>
      <c r="BI370" s="57"/>
      <c r="BJ370" s="57"/>
      <c r="BK370" s="57"/>
      <c r="BL370" s="57"/>
      <c r="BM370" s="57"/>
      <c r="BN370" s="57"/>
      <c r="BO370" s="57"/>
      <c r="BP370" s="57"/>
      <c r="BQ370" s="57"/>
      <c r="BR370" s="57"/>
      <c r="BS370" s="57"/>
      <c r="BT370" s="57"/>
      <c r="BU370" s="57"/>
      <c r="BV370" s="57"/>
      <c r="BW370" s="57"/>
      <c r="BX370" s="57"/>
      <c r="BY370" s="57"/>
      <c r="BZ370" s="57"/>
      <c r="CA370" s="57"/>
      <c r="CB370" s="57"/>
      <c r="CC370" s="57"/>
      <c r="CD370" s="57"/>
      <c r="CE370" s="57"/>
      <c r="CF370" s="57"/>
      <c r="CG370" s="57"/>
      <c r="CH370" s="57"/>
      <c r="CI370" s="57"/>
      <c r="CJ370" s="57"/>
      <c r="CK370" s="57"/>
      <c r="CL370" s="57"/>
      <c r="CM370" s="57"/>
      <c r="CN370" s="57"/>
      <c r="CO370" s="57"/>
      <c r="CP370" s="57"/>
      <c r="CQ370" s="57"/>
      <c r="CR370" s="57"/>
      <c r="CS370" s="57"/>
      <c r="CT370" s="57"/>
    </row>
    <row r="371" ht="15.0" customHeight="1">
      <c r="A371" s="51" t="str">
        <f t="shared" si="3"/>
        <v/>
      </c>
      <c r="B371" s="45"/>
      <c r="C371" s="39" t="str">
        <f t="shared" si="1"/>
        <v/>
      </c>
      <c r="D371" s="39" t="str">
        <f t="shared" si="2"/>
        <v/>
      </c>
      <c r="E371" s="45"/>
      <c r="F371" s="45"/>
      <c r="G371" s="45"/>
      <c r="H371" s="52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  <c r="CG371" s="53"/>
      <c r="CH371" s="53"/>
      <c r="CI371" s="53"/>
      <c r="CJ371" s="53"/>
      <c r="CK371" s="53"/>
      <c r="CL371" s="53"/>
      <c r="CM371" s="53"/>
      <c r="CN371" s="53"/>
      <c r="CO371" s="53"/>
      <c r="CP371" s="53"/>
      <c r="CQ371" s="53"/>
      <c r="CR371" s="53"/>
      <c r="CS371" s="53"/>
      <c r="CT371" s="53"/>
    </row>
    <row r="372" ht="15.0" customHeight="1">
      <c r="A372" s="54" t="str">
        <f t="shared" si="3"/>
        <v/>
      </c>
      <c r="B372" s="48"/>
      <c r="C372" s="55" t="str">
        <f t="shared" si="1"/>
        <v/>
      </c>
      <c r="D372" s="55" t="str">
        <f t="shared" si="2"/>
        <v/>
      </c>
      <c r="E372" s="48"/>
      <c r="F372" s="48"/>
      <c r="G372" s="48"/>
      <c r="H372" s="56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  <c r="BD372" s="57"/>
      <c r="BE372" s="57"/>
      <c r="BF372" s="57"/>
      <c r="BG372" s="57"/>
      <c r="BH372" s="57"/>
      <c r="BI372" s="57"/>
      <c r="BJ372" s="57"/>
      <c r="BK372" s="57"/>
      <c r="BL372" s="57"/>
      <c r="BM372" s="57"/>
      <c r="BN372" s="57"/>
      <c r="BO372" s="57"/>
      <c r="BP372" s="57"/>
      <c r="BQ372" s="57"/>
      <c r="BR372" s="57"/>
      <c r="BS372" s="57"/>
      <c r="BT372" s="57"/>
      <c r="BU372" s="57"/>
      <c r="BV372" s="57"/>
      <c r="BW372" s="57"/>
      <c r="BX372" s="57"/>
      <c r="BY372" s="57"/>
      <c r="BZ372" s="57"/>
      <c r="CA372" s="57"/>
      <c r="CB372" s="57"/>
      <c r="CC372" s="57"/>
      <c r="CD372" s="57"/>
      <c r="CE372" s="57"/>
      <c r="CF372" s="57"/>
      <c r="CG372" s="57"/>
      <c r="CH372" s="57"/>
      <c r="CI372" s="57"/>
      <c r="CJ372" s="57"/>
      <c r="CK372" s="57"/>
      <c r="CL372" s="57"/>
      <c r="CM372" s="57"/>
      <c r="CN372" s="57"/>
      <c r="CO372" s="57"/>
      <c r="CP372" s="57"/>
      <c r="CQ372" s="57"/>
      <c r="CR372" s="57"/>
      <c r="CS372" s="57"/>
      <c r="CT372" s="57"/>
    </row>
    <row r="373" ht="15.0" customHeight="1">
      <c r="A373" s="51" t="str">
        <f t="shared" si="3"/>
        <v/>
      </c>
      <c r="B373" s="45"/>
      <c r="C373" s="39" t="str">
        <f t="shared" si="1"/>
        <v/>
      </c>
      <c r="D373" s="39" t="str">
        <f t="shared" si="2"/>
        <v/>
      </c>
      <c r="E373" s="45"/>
      <c r="F373" s="45"/>
      <c r="G373" s="45"/>
      <c r="H373" s="52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  <c r="CD373" s="53"/>
      <c r="CE373" s="53"/>
      <c r="CF373" s="53"/>
      <c r="CG373" s="53"/>
      <c r="CH373" s="53"/>
      <c r="CI373" s="53"/>
      <c r="CJ373" s="53"/>
      <c r="CK373" s="53"/>
      <c r="CL373" s="53"/>
      <c r="CM373" s="53"/>
      <c r="CN373" s="53"/>
      <c r="CO373" s="53"/>
      <c r="CP373" s="53"/>
      <c r="CQ373" s="53"/>
      <c r="CR373" s="53"/>
      <c r="CS373" s="53"/>
      <c r="CT373" s="53"/>
    </row>
    <row r="374" ht="15.0" customHeight="1">
      <c r="A374" s="54" t="str">
        <f t="shared" si="3"/>
        <v/>
      </c>
      <c r="B374" s="48"/>
      <c r="C374" s="55" t="str">
        <f t="shared" si="1"/>
        <v/>
      </c>
      <c r="D374" s="55" t="str">
        <f t="shared" si="2"/>
        <v/>
      </c>
      <c r="E374" s="48"/>
      <c r="F374" s="48"/>
      <c r="G374" s="48"/>
      <c r="H374" s="56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  <c r="BD374" s="57"/>
      <c r="BE374" s="57"/>
      <c r="BF374" s="57"/>
      <c r="BG374" s="57"/>
      <c r="BH374" s="57"/>
      <c r="BI374" s="57"/>
      <c r="BJ374" s="57"/>
      <c r="BK374" s="57"/>
      <c r="BL374" s="57"/>
      <c r="BM374" s="57"/>
      <c r="BN374" s="57"/>
      <c r="BO374" s="57"/>
      <c r="BP374" s="57"/>
      <c r="BQ374" s="57"/>
      <c r="BR374" s="57"/>
      <c r="BS374" s="57"/>
      <c r="BT374" s="57"/>
      <c r="BU374" s="57"/>
      <c r="BV374" s="57"/>
      <c r="BW374" s="57"/>
      <c r="BX374" s="57"/>
      <c r="BY374" s="57"/>
      <c r="BZ374" s="57"/>
      <c r="CA374" s="57"/>
      <c r="CB374" s="57"/>
      <c r="CC374" s="57"/>
      <c r="CD374" s="57"/>
      <c r="CE374" s="57"/>
      <c r="CF374" s="57"/>
      <c r="CG374" s="57"/>
      <c r="CH374" s="57"/>
      <c r="CI374" s="57"/>
      <c r="CJ374" s="57"/>
      <c r="CK374" s="57"/>
      <c r="CL374" s="57"/>
      <c r="CM374" s="57"/>
      <c r="CN374" s="57"/>
      <c r="CO374" s="57"/>
      <c r="CP374" s="57"/>
      <c r="CQ374" s="57"/>
      <c r="CR374" s="57"/>
      <c r="CS374" s="57"/>
      <c r="CT374" s="57"/>
    </row>
    <row r="375" ht="15.0" customHeight="1">
      <c r="A375" s="51" t="str">
        <f t="shared" si="3"/>
        <v/>
      </c>
      <c r="B375" s="45"/>
      <c r="C375" s="39" t="str">
        <f t="shared" si="1"/>
        <v/>
      </c>
      <c r="D375" s="39" t="str">
        <f t="shared" si="2"/>
        <v/>
      </c>
      <c r="E375" s="45"/>
      <c r="F375" s="45"/>
      <c r="G375" s="45"/>
      <c r="H375" s="52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/>
      <c r="BR375" s="53"/>
      <c r="BS375" s="53"/>
      <c r="BT375" s="53"/>
      <c r="BU375" s="53"/>
      <c r="BV375" s="53"/>
      <c r="BW375" s="53"/>
      <c r="BX375" s="53"/>
      <c r="BY375" s="53"/>
      <c r="BZ375" s="53"/>
      <c r="CA375" s="53"/>
      <c r="CB375" s="53"/>
      <c r="CC375" s="53"/>
      <c r="CD375" s="53"/>
      <c r="CE375" s="53"/>
      <c r="CF375" s="53"/>
      <c r="CG375" s="53"/>
      <c r="CH375" s="53"/>
      <c r="CI375" s="53"/>
      <c r="CJ375" s="53"/>
      <c r="CK375" s="53"/>
      <c r="CL375" s="53"/>
      <c r="CM375" s="53"/>
      <c r="CN375" s="53"/>
      <c r="CO375" s="53"/>
      <c r="CP375" s="53"/>
      <c r="CQ375" s="53"/>
      <c r="CR375" s="53"/>
      <c r="CS375" s="53"/>
      <c r="CT375" s="53"/>
    </row>
    <row r="376" ht="15.0" customHeight="1">
      <c r="A376" s="54" t="str">
        <f t="shared" si="3"/>
        <v/>
      </c>
      <c r="B376" s="48"/>
      <c r="C376" s="55" t="str">
        <f t="shared" si="1"/>
        <v/>
      </c>
      <c r="D376" s="55" t="str">
        <f t="shared" si="2"/>
        <v/>
      </c>
      <c r="E376" s="48"/>
      <c r="F376" s="48"/>
      <c r="G376" s="48"/>
      <c r="H376" s="56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  <c r="BD376" s="57"/>
      <c r="BE376" s="57"/>
      <c r="BF376" s="57"/>
      <c r="BG376" s="57"/>
      <c r="BH376" s="57"/>
      <c r="BI376" s="57"/>
      <c r="BJ376" s="57"/>
      <c r="BK376" s="57"/>
      <c r="BL376" s="57"/>
      <c r="BM376" s="57"/>
      <c r="BN376" s="57"/>
      <c r="BO376" s="57"/>
      <c r="BP376" s="57"/>
      <c r="BQ376" s="57"/>
      <c r="BR376" s="57"/>
      <c r="BS376" s="57"/>
      <c r="BT376" s="57"/>
      <c r="BU376" s="57"/>
      <c r="BV376" s="57"/>
      <c r="BW376" s="57"/>
      <c r="BX376" s="57"/>
      <c r="BY376" s="57"/>
      <c r="BZ376" s="57"/>
      <c r="CA376" s="57"/>
      <c r="CB376" s="57"/>
      <c r="CC376" s="57"/>
      <c r="CD376" s="57"/>
      <c r="CE376" s="57"/>
      <c r="CF376" s="57"/>
      <c r="CG376" s="57"/>
      <c r="CH376" s="57"/>
      <c r="CI376" s="57"/>
      <c r="CJ376" s="57"/>
      <c r="CK376" s="57"/>
      <c r="CL376" s="57"/>
      <c r="CM376" s="57"/>
      <c r="CN376" s="57"/>
      <c r="CO376" s="57"/>
      <c r="CP376" s="57"/>
      <c r="CQ376" s="57"/>
      <c r="CR376" s="57"/>
      <c r="CS376" s="57"/>
      <c r="CT376" s="57"/>
    </row>
    <row r="377" ht="15.0" customHeight="1">
      <c r="A377" s="51" t="str">
        <f t="shared" si="3"/>
        <v/>
      </c>
      <c r="B377" s="45"/>
      <c r="C377" s="39" t="str">
        <f t="shared" si="1"/>
        <v/>
      </c>
      <c r="D377" s="39" t="str">
        <f t="shared" si="2"/>
        <v/>
      </c>
      <c r="E377" s="45"/>
      <c r="F377" s="45"/>
      <c r="G377" s="45"/>
      <c r="H377" s="52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3"/>
      <c r="BN377" s="53"/>
      <c r="BO377" s="53"/>
      <c r="BP377" s="53"/>
      <c r="BQ377" s="53"/>
      <c r="BR377" s="53"/>
      <c r="BS377" s="53"/>
      <c r="BT377" s="53"/>
      <c r="BU377" s="53"/>
      <c r="BV377" s="53"/>
      <c r="BW377" s="53"/>
      <c r="BX377" s="53"/>
      <c r="BY377" s="53"/>
      <c r="BZ377" s="53"/>
      <c r="CA377" s="53"/>
      <c r="CB377" s="53"/>
      <c r="CC377" s="53"/>
      <c r="CD377" s="53"/>
      <c r="CE377" s="53"/>
      <c r="CF377" s="53"/>
      <c r="CG377" s="53"/>
      <c r="CH377" s="53"/>
      <c r="CI377" s="53"/>
      <c r="CJ377" s="53"/>
      <c r="CK377" s="53"/>
      <c r="CL377" s="53"/>
      <c r="CM377" s="53"/>
      <c r="CN377" s="53"/>
      <c r="CO377" s="53"/>
      <c r="CP377" s="53"/>
      <c r="CQ377" s="53"/>
      <c r="CR377" s="53"/>
      <c r="CS377" s="53"/>
      <c r="CT377" s="53"/>
    </row>
    <row r="378" ht="15.0" customHeight="1">
      <c r="A378" s="54" t="str">
        <f t="shared" si="3"/>
        <v/>
      </c>
      <c r="B378" s="48"/>
      <c r="C378" s="55" t="str">
        <f t="shared" si="1"/>
        <v/>
      </c>
      <c r="D378" s="55" t="str">
        <f t="shared" si="2"/>
        <v/>
      </c>
      <c r="E378" s="48"/>
      <c r="F378" s="48"/>
      <c r="G378" s="48"/>
      <c r="H378" s="56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  <c r="BD378" s="57"/>
      <c r="BE378" s="57"/>
      <c r="BF378" s="57"/>
      <c r="BG378" s="57"/>
      <c r="BH378" s="57"/>
      <c r="BI378" s="57"/>
      <c r="BJ378" s="57"/>
      <c r="BK378" s="57"/>
      <c r="BL378" s="57"/>
      <c r="BM378" s="57"/>
      <c r="BN378" s="57"/>
      <c r="BO378" s="57"/>
      <c r="BP378" s="57"/>
      <c r="BQ378" s="57"/>
      <c r="BR378" s="57"/>
      <c r="BS378" s="57"/>
      <c r="BT378" s="57"/>
      <c r="BU378" s="57"/>
      <c r="BV378" s="57"/>
      <c r="BW378" s="57"/>
      <c r="BX378" s="57"/>
      <c r="BY378" s="57"/>
      <c r="BZ378" s="57"/>
      <c r="CA378" s="57"/>
      <c r="CB378" s="57"/>
      <c r="CC378" s="57"/>
      <c r="CD378" s="57"/>
      <c r="CE378" s="57"/>
      <c r="CF378" s="57"/>
      <c r="CG378" s="57"/>
      <c r="CH378" s="57"/>
      <c r="CI378" s="57"/>
      <c r="CJ378" s="57"/>
      <c r="CK378" s="57"/>
      <c r="CL378" s="57"/>
      <c r="CM378" s="57"/>
      <c r="CN378" s="57"/>
      <c r="CO378" s="57"/>
      <c r="CP378" s="57"/>
      <c r="CQ378" s="57"/>
      <c r="CR378" s="57"/>
      <c r="CS378" s="57"/>
      <c r="CT378" s="57"/>
    </row>
    <row r="379" ht="15.0" customHeight="1">
      <c r="A379" s="51" t="str">
        <f t="shared" si="3"/>
        <v/>
      </c>
      <c r="B379" s="45"/>
      <c r="C379" s="39" t="str">
        <f t="shared" si="1"/>
        <v/>
      </c>
      <c r="D379" s="39" t="str">
        <f t="shared" si="2"/>
        <v/>
      </c>
      <c r="E379" s="45"/>
      <c r="F379" s="45"/>
      <c r="G379" s="45"/>
      <c r="H379" s="52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  <c r="CD379" s="53"/>
      <c r="CE379" s="53"/>
      <c r="CF379" s="53"/>
      <c r="CG379" s="53"/>
      <c r="CH379" s="53"/>
      <c r="CI379" s="53"/>
      <c r="CJ379" s="53"/>
      <c r="CK379" s="53"/>
      <c r="CL379" s="53"/>
      <c r="CM379" s="53"/>
      <c r="CN379" s="53"/>
      <c r="CO379" s="53"/>
      <c r="CP379" s="53"/>
      <c r="CQ379" s="53"/>
      <c r="CR379" s="53"/>
      <c r="CS379" s="53"/>
      <c r="CT379" s="53"/>
    </row>
    <row r="380" ht="15.0" customHeight="1">
      <c r="A380" s="54" t="str">
        <f t="shared" si="3"/>
        <v/>
      </c>
      <c r="B380" s="48"/>
      <c r="C380" s="55" t="str">
        <f t="shared" si="1"/>
        <v/>
      </c>
      <c r="D380" s="55" t="str">
        <f t="shared" si="2"/>
        <v/>
      </c>
      <c r="E380" s="48"/>
      <c r="F380" s="48"/>
      <c r="G380" s="48"/>
      <c r="H380" s="56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  <c r="BD380" s="57"/>
      <c r="BE380" s="57"/>
      <c r="BF380" s="57"/>
      <c r="BG380" s="57"/>
      <c r="BH380" s="57"/>
      <c r="BI380" s="57"/>
      <c r="BJ380" s="57"/>
      <c r="BK380" s="57"/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  <c r="BV380" s="57"/>
      <c r="BW380" s="57"/>
      <c r="BX380" s="57"/>
      <c r="BY380" s="57"/>
      <c r="BZ380" s="57"/>
      <c r="CA380" s="57"/>
      <c r="CB380" s="57"/>
      <c r="CC380" s="57"/>
      <c r="CD380" s="57"/>
      <c r="CE380" s="57"/>
      <c r="CF380" s="57"/>
      <c r="CG380" s="57"/>
      <c r="CH380" s="57"/>
      <c r="CI380" s="57"/>
      <c r="CJ380" s="57"/>
      <c r="CK380" s="57"/>
      <c r="CL380" s="57"/>
      <c r="CM380" s="57"/>
      <c r="CN380" s="57"/>
      <c r="CO380" s="57"/>
      <c r="CP380" s="57"/>
      <c r="CQ380" s="57"/>
      <c r="CR380" s="57"/>
      <c r="CS380" s="57"/>
      <c r="CT380" s="57"/>
    </row>
    <row r="381" ht="15.0" customHeight="1">
      <c r="A381" s="51" t="str">
        <f t="shared" si="3"/>
        <v/>
      </c>
      <c r="B381" s="45"/>
      <c r="C381" s="39" t="str">
        <f t="shared" si="1"/>
        <v/>
      </c>
      <c r="D381" s="39" t="str">
        <f t="shared" si="2"/>
        <v/>
      </c>
      <c r="E381" s="45"/>
      <c r="F381" s="45"/>
      <c r="G381" s="45"/>
      <c r="H381" s="52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  <c r="CD381" s="53"/>
      <c r="CE381" s="53"/>
      <c r="CF381" s="53"/>
      <c r="CG381" s="53"/>
      <c r="CH381" s="53"/>
      <c r="CI381" s="53"/>
      <c r="CJ381" s="53"/>
      <c r="CK381" s="53"/>
      <c r="CL381" s="53"/>
      <c r="CM381" s="53"/>
      <c r="CN381" s="53"/>
      <c r="CO381" s="53"/>
      <c r="CP381" s="53"/>
      <c r="CQ381" s="53"/>
      <c r="CR381" s="53"/>
      <c r="CS381" s="53"/>
      <c r="CT381" s="53"/>
    </row>
    <row r="382" ht="15.0" customHeight="1">
      <c r="A382" s="54" t="str">
        <f t="shared" si="3"/>
        <v/>
      </c>
      <c r="B382" s="48"/>
      <c r="C382" s="55" t="str">
        <f t="shared" si="1"/>
        <v/>
      </c>
      <c r="D382" s="55" t="str">
        <f t="shared" si="2"/>
        <v/>
      </c>
      <c r="E382" s="48"/>
      <c r="F382" s="48"/>
      <c r="G382" s="48"/>
      <c r="H382" s="56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  <c r="BD382" s="57"/>
      <c r="BE382" s="57"/>
      <c r="BF382" s="57"/>
      <c r="BG382" s="57"/>
      <c r="BH382" s="57"/>
      <c r="BI382" s="57"/>
      <c r="BJ382" s="57"/>
      <c r="BK382" s="57"/>
      <c r="BL382" s="57"/>
      <c r="BM382" s="57"/>
      <c r="BN382" s="57"/>
      <c r="BO382" s="57"/>
      <c r="BP382" s="57"/>
      <c r="BQ382" s="57"/>
      <c r="BR382" s="57"/>
      <c r="BS382" s="57"/>
      <c r="BT382" s="57"/>
      <c r="BU382" s="57"/>
      <c r="BV382" s="57"/>
      <c r="BW382" s="57"/>
      <c r="BX382" s="57"/>
      <c r="BY382" s="57"/>
      <c r="BZ382" s="57"/>
      <c r="CA382" s="57"/>
      <c r="CB382" s="57"/>
      <c r="CC382" s="57"/>
      <c r="CD382" s="57"/>
      <c r="CE382" s="57"/>
      <c r="CF382" s="57"/>
      <c r="CG382" s="57"/>
      <c r="CH382" s="57"/>
      <c r="CI382" s="57"/>
      <c r="CJ382" s="57"/>
      <c r="CK382" s="57"/>
      <c r="CL382" s="57"/>
      <c r="CM382" s="57"/>
      <c r="CN382" s="57"/>
      <c r="CO382" s="57"/>
      <c r="CP382" s="57"/>
      <c r="CQ382" s="57"/>
      <c r="CR382" s="57"/>
      <c r="CS382" s="57"/>
      <c r="CT382" s="57"/>
    </row>
    <row r="383" ht="15.0" customHeight="1">
      <c r="A383" s="51" t="str">
        <f t="shared" si="3"/>
        <v/>
      </c>
      <c r="B383" s="45"/>
      <c r="C383" s="39" t="str">
        <f t="shared" si="1"/>
        <v/>
      </c>
      <c r="D383" s="39" t="str">
        <f t="shared" si="2"/>
        <v/>
      </c>
      <c r="E383" s="45"/>
      <c r="F383" s="45"/>
      <c r="G383" s="45"/>
      <c r="H383" s="52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  <c r="BO383" s="53"/>
      <c r="BP383" s="53"/>
      <c r="BQ383" s="53"/>
      <c r="BR383" s="53"/>
      <c r="BS383" s="53"/>
      <c r="BT383" s="53"/>
      <c r="BU383" s="53"/>
      <c r="BV383" s="53"/>
      <c r="BW383" s="53"/>
      <c r="BX383" s="53"/>
      <c r="BY383" s="53"/>
      <c r="BZ383" s="53"/>
      <c r="CA383" s="53"/>
      <c r="CB383" s="53"/>
      <c r="CC383" s="53"/>
      <c r="CD383" s="53"/>
      <c r="CE383" s="53"/>
      <c r="CF383" s="53"/>
      <c r="CG383" s="53"/>
      <c r="CH383" s="53"/>
      <c r="CI383" s="53"/>
      <c r="CJ383" s="53"/>
      <c r="CK383" s="53"/>
      <c r="CL383" s="53"/>
      <c r="CM383" s="53"/>
      <c r="CN383" s="53"/>
      <c r="CO383" s="53"/>
      <c r="CP383" s="53"/>
      <c r="CQ383" s="53"/>
      <c r="CR383" s="53"/>
      <c r="CS383" s="53"/>
      <c r="CT383" s="53"/>
    </row>
    <row r="384" ht="15.0" customHeight="1">
      <c r="A384" s="54" t="str">
        <f t="shared" si="3"/>
        <v/>
      </c>
      <c r="B384" s="48"/>
      <c r="C384" s="55" t="str">
        <f t="shared" si="1"/>
        <v/>
      </c>
      <c r="D384" s="55" t="str">
        <f t="shared" si="2"/>
        <v/>
      </c>
      <c r="E384" s="48"/>
      <c r="F384" s="48"/>
      <c r="G384" s="48"/>
      <c r="H384" s="56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  <c r="BB384" s="57"/>
      <c r="BC384" s="57"/>
      <c r="BD384" s="57"/>
      <c r="BE384" s="57"/>
      <c r="BF384" s="57"/>
      <c r="BG384" s="57"/>
      <c r="BH384" s="57"/>
      <c r="BI384" s="57"/>
      <c r="BJ384" s="57"/>
      <c r="BK384" s="57"/>
      <c r="BL384" s="57"/>
      <c r="BM384" s="57"/>
      <c r="BN384" s="57"/>
      <c r="BO384" s="57"/>
      <c r="BP384" s="57"/>
      <c r="BQ384" s="57"/>
      <c r="BR384" s="57"/>
      <c r="BS384" s="57"/>
      <c r="BT384" s="57"/>
      <c r="BU384" s="57"/>
      <c r="BV384" s="57"/>
      <c r="BW384" s="57"/>
      <c r="BX384" s="57"/>
      <c r="BY384" s="57"/>
      <c r="BZ384" s="57"/>
      <c r="CA384" s="57"/>
      <c r="CB384" s="57"/>
      <c r="CC384" s="57"/>
      <c r="CD384" s="57"/>
      <c r="CE384" s="57"/>
      <c r="CF384" s="57"/>
      <c r="CG384" s="57"/>
      <c r="CH384" s="57"/>
      <c r="CI384" s="57"/>
      <c r="CJ384" s="57"/>
      <c r="CK384" s="57"/>
      <c r="CL384" s="57"/>
      <c r="CM384" s="57"/>
      <c r="CN384" s="57"/>
      <c r="CO384" s="57"/>
      <c r="CP384" s="57"/>
      <c r="CQ384" s="57"/>
      <c r="CR384" s="57"/>
      <c r="CS384" s="57"/>
      <c r="CT384" s="57"/>
    </row>
    <row r="385" ht="15.0" customHeight="1">
      <c r="A385" s="51" t="str">
        <f t="shared" si="3"/>
        <v/>
      </c>
      <c r="B385" s="45"/>
      <c r="C385" s="39" t="str">
        <f t="shared" si="1"/>
        <v/>
      </c>
      <c r="D385" s="39" t="str">
        <f t="shared" si="2"/>
        <v/>
      </c>
      <c r="E385" s="45"/>
      <c r="F385" s="45"/>
      <c r="G385" s="45"/>
      <c r="H385" s="52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3"/>
      <c r="BN385" s="53"/>
      <c r="BO385" s="53"/>
      <c r="BP385" s="53"/>
      <c r="BQ385" s="53"/>
      <c r="BR385" s="53"/>
      <c r="BS385" s="53"/>
      <c r="BT385" s="53"/>
      <c r="BU385" s="53"/>
      <c r="BV385" s="53"/>
      <c r="BW385" s="53"/>
      <c r="BX385" s="53"/>
      <c r="BY385" s="53"/>
      <c r="BZ385" s="53"/>
      <c r="CA385" s="53"/>
      <c r="CB385" s="53"/>
      <c r="CC385" s="53"/>
      <c r="CD385" s="53"/>
      <c r="CE385" s="53"/>
      <c r="CF385" s="53"/>
      <c r="CG385" s="53"/>
      <c r="CH385" s="53"/>
      <c r="CI385" s="53"/>
      <c r="CJ385" s="53"/>
      <c r="CK385" s="53"/>
      <c r="CL385" s="53"/>
      <c r="CM385" s="53"/>
      <c r="CN385" s="53"/>
      <c r="CO385" s="53"/>
      <c r="CP385" s="53"/>
      <c r="CQ385" s="53"/>
      <c r="CR385" s="53"/>
      <c r="CS385" s="53"/>
      <c r="CT385" s="53"/>
    </row>
    <row r="386" ht="15.0" customHeight="1">
      <c r="A386" s="54" t="str">
        <f t="shared" si="3"/>
        <v/>
      </c>
      <c r="B386" s="48"/>
      <c r="C386" s="55" t="str">
        <f t="shared" si="1"/>
        <v/>
      </c>
      <c r="D386" s="55" t="str">
        <f t="shared" si="2"/>
        <v/>
      </c>
      <c r="E386" s="48"/>
      <c r="F386" s="48"/>
      <c r="G386" s="48"/>
      <c r="H386" s="56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  <c r="BD386" s="57"/>
      <c r="BE386" s="57"/>
      <c r="BF386" s="57"/>
      <c r="BG386" s="57"/>
      <c r="BH386" s="57"/>
      <c r="BI386" s="57"/>
      <c r="BJ386" s="57"/>
      <c r="BK386" s="57"/>
      <c r="BL386" s="57"/>
      <c r="BM386" s="57"/>
      <c r="BN386" s="57"/>
      <c r="BO386" s="57"/>
      <c r="BP386" s="57"/>
      <c r="BQ386" s="57"/>
      <c r="BR386" s="57"/>
      <c r="BS386" s="57"/>
      <c r="BT386" s="57"/>
      <c r="BU386" s="57"/>
      <c r="BV386" s="57"/>
      <c r="BW386" s="57"/>
      <c r="BX386" s="57"/>
      <c r="BY386" s="57"/>
      <c r="BZ386" s="57"/>
      <c r="CA386" s="57"/>
      <c r="CB386" s="57"/>
      <c r="CC386" s="57"/>
      <c r="CD386" s="57"/>
      <c r="CE386" s="57"/>
      <c r="CF386" s="57"/>
      <c r="CG386" s="57"/>
      <c r="CH386" s="57"/>
      <c r="CI386" s="57"/>
      <c r="CJ386" s="57"/>
      <c r="CK386" s="57"/>
      <c r="CL386" s="57"/>
      <c r="CM386" s="57"/>
      <c r="CN386" s="57"/>
      <c r="CO386" s="57"/>
      <c r="CP386" s="57"/>
      <c r="CQ386" s="57"/>
      <c r="CR386" s="57"/>
      <c r="CS386" s="57"/>
      <c r="CT386" s="57"/>
    </row>
    <row r="387" ht="15.0" customHeight="1">
      <c r="A387" s="51" t="str">
        <f t="shared" si="3"/>
        <v/>
      </c>
      <c r="B387" s="45"/>
      <c r="C387" s="39" t="str">
        <f t="shared" si="1"/>
        <v/>
      </c>
      <c r="D387" s="39" t="str">
        <f t="shared" si="2"/>
        <v/>
      </c>
      <c r="E387" s="45"/>
      <c r="F387" s="45"/>
      <c r="G387" s="45"/>
      <c r="H387" s="52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/>
      <c r="BR387" s="53"/>
      <c r="BS387" s="53"/>
      <c r="BT387" s="53"/>
      <c r="BU387" s="53"/>
      <c r="BV387" s="53"/>
      <c r="BW387" s="53"/>
      <c r="BX387" s="53"/>
      <c r="BY387" s="53"/>
      <c r="BZ387" s="53"/>
      <c r="CA387" s="53"/>
      <c r="CB387" s="53"/>
      <c r="CC387" s="53"/>
      <c r="CD387" s="53"/>
      <c r="CE387" s="53"/>
      <c r="CF387" s="53"/>
      <c r="CG387" s="53"/>
      <c r="CH387" s="53"/>
      <c r="CI387" s="53"/>
      <c r="CJ387" s="53"/>
      <c r="CK387" s="53"/>
      <c r="CL387" s="53"/>
      <c r="CM387" s="53"/>
      <c r="CN387" s="53"/>
      <c r="CO387" s="53"/>
      <c r="CP387" s="53"/>
      <c r="CQ387" s="53"/>
      <c r="CR387" s="53"/>
      <c r="CS387" s="53"/>
      <c r="CT387" s="53"/>
    </row>
    <row r="388" ht="15.0" customHeight="1">
      <c r="A388" s="54" t="str">
        <f t="shared" si="3"/>
        <v/>
      </c>
      <c r="B388" s="48"/>
      <c r="C388" s="55" t="str">
        <f t="shared" si="1"/>
        <v/>
      </c>
      <c r="D388" s="55" t="str">
        <f t="shared" si="2"/>
        <v/>
      </c>
      <c r="E388" s="48"/>
      <c r="F388" s="48"/>
      <c r="G388" s="48"/>
      <c r="H388" s="56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  <c r="BD388" s="57"/>
      <c r="BE388" s="57"/>
      <c r="BF388" s="57"/>
      <c r="BG388" s="57"/>
      <c r="BH388" s="57"/>
      <c r="BI388" s="57"/>
      <c r="BJ388" s="57"/>
      <c r="BK388" s="57"/>
      <c r="BL388" s="57"/>
      <c r="BM388" s="57"/>
      <c r="BN388" s="57"/>
      <c r="BO388" s="57"/>
      <c r="BP388" s="57"/>
      <c r="BQ388" s="57"/>
      <c r="BR388" s="57"/>
      <c r="BS388" s="57"/>
      <c r="BT388" s="57"/>
      <c r="BU388" s="57"/>
      <c r="BV388" s="57"/>
      <c r="BW388" s="57"/>
      <c r="BX388" s="57"/>
      <c r="BY388" s="57"/>
      <c r="BZ388" s="57"/>
      <c r="CA388" s="57"/>
      <c r="CB388" s="57"/>
      <c r="CC388" s="57"/>
      <c r="CD388" s="57"/>
      <c r="CE388" s="57"/>
      <c r="CF388" s="57"/>
      <c r="CG388" s="57"/>
      <c r="CH388" s="57"/>
      <c r="CI388" s="57"/>
      <c r="CJ388" s="57"/>
      <c r="CK388" s="57"/>
      <c r="CL388" s="57"/>
      <c r="CM388" s="57"/>
      <c r="CN388" s="57"/>
      <c r="CO388" s="57"/>
      <c r="CP388" s="57"/>
      <c r="CQ388" s="57"/>
      <c r="CR388" s="57"/>
      <c r="CS388" s="57"/>
      <c r="CT388" s="57"/>
    </row>
    <row r="389" ht="15.0" customHeight="1">
      <c r="A389" s="51" t="str">
        <f t="shared" si="3"/>
        <v/>
      </c>
      <c r="B389" s="45"/>
      <c r="C389" s="39" t="str">
        <f t="shared" si="1"/>
        <v/>
      </c>
      <c r="D389" s="39" t="str">
        <f t="shared" si="2"/>
        <v/>
      </c>
      <c r="E389" s="45"/>
      <c r="F389" s="45"/>
      <c r="G389" s="45"/>
      <c r="H389" s="52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  <c r="CD389" s="53"/>
      <c r="CE389" s="53"/>
      <c r="CF389" s="53"/>
      <c r="CG389" s="53"/>
      <c r="CH389" s="53"/>
      <c r="CI389" s="53"/>
      <c r="CJ389" s="53"/>
      <c r="CK389" s="53"/>
      <c r="CL389" s="53"/>
      <c r="CM389" s="53"/>
      <c r="CN389" s="53"/>
      <c r="CO389" s="53"/>
      <c r="CP389" s="53"/>
      <c r="CQ389" s="53"/>
      <c r="CR389" s="53"/>
      <c r="CS389" s="53"/>
      <c r="CT389" s="53"/>
    </row>
    <row r="390" ht="15.0" customHeight="1">
      <c r="A390" s="54" t="str">
        <f t="shared" si="3"/>
        <v/>
      </c>
      <c r="B390" s="48"/>
      <c r="C390" s="55" t="str">
        <f t="shared" si="1"/>
        <v/>
      </c>
      <c r="D390" s="55" t="str">
        <f t="shared" si="2"/>
        <v/>
      </c>
      <c r="E390" s="48"/>
      <c r="F390" s="48"/>
      <c r="G390" s="48"/>
      <c r="H390" s="56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  <c r="BB390" s="57"/>
      <c r="BC390" s="57"/>
      <c r="BD390" s="57"/>
      <c r="BE390" s="57"/>
      <c r="BF390" s="57"/>
      <c r="BG390" s="57"/>
      <c r="BH390" s="57"/>
      <c r="BI390" s="57"/>
      <c r="BJ390" s="57"/>
      <c r="BK390" s="57"/>
      <c r="BL390" s="57"/>
      <c r="BM390" s="57"/>
      <c r="BN390" s="57"/>
      <c r="BO390" s="57"/>
      <c r="BP390" s="57"/>
      <c r="BQ390" s="57"/>
      <c r="BR390" s="57"/>
      <c r="BS390" s="57"/>
      <c r="BT390" s="57"/>
      <c r="BU390" s="57"/>
      <c r="BV390" s="57"/>
      <c r="BW390" s="57"/>
      <c r="BX390" s="57"/>
      <c r="BY390" s="57"/>
      <c r="BZ390" s="57"/>
      <c r="CA390" s="57"/>
      <c r="CB390" s="57"/>
      <c r="CC390" s="57"/>
      <c r="CD390" s="57"/>
      <c r="CE390" s="57"/>
      <c r="CF390" s="57"/>
      <c r="CG390" s="57"/>
      <c r="CH390" s="57"/>
      <c r="CI390" s="57"/>
      <c r="CJ390" s="57"/>
      <c r="CK390" s="57"/>
      <c r="CL390" s="57"/>
      <c r="CM390" s="57"/>
      <c r="CN390" s="57"/>
      <c r="CO390" s="57"/>
      <c r="CP390" s="57"/>
      <c r="CQ390" s="57"/>
      <c r="CR390" s="57"/>
      <c r="CS390" s="57"/>
      <c r="CT390" s="57"/>
    </row>
    <row r="391" ht="15.0" customHeight="1">
      <c r="A391" s="51" t="str">
        <f t="shared" si="3"/>
        <v/>
      </c>
      <c r="B391" s="45"/>
      <c r="C391" s="39" t="str">
        <f t="shared" si="1"/>
        <v/>
      </c>
      <c r="D391" s="39" t="str">
        <f t="shared" si="2"/>
        <v/>
      </c>
      <c r="E391" s="45"/>
      <c r="F391" s="45"/>
      <c r="G391" s="45"/>
      <c r="H391" s="52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3"/>
      <c r="BG391" s="53"/>
      <c r="BH391" s="53"/>
      <c r="BI391" s="53"/>
      <c r="BJ391" s="53"/>
      <c r="BK391" s="53"/>
      <c r="BL391" s="53"/>
      <c r="BM391" s="53"/>
      <c r="BN391" s="53"/>
      <c r="BO391" s="53"/>
      <c r="BP391" s="53"/>
      <c r="BQ391" s="53"/>
      <c r="BR391" s="53"/>
      <c r="BS391" s="53"/>
      <c r="BT391" s="53"/>
      <c r="BU391" s="53"/>
      <c r="BV391" s="53"/>
      <c r="BW391" s="53"/>
      <c r="BX391" s="53"/>
      <c r="BY391" s="53"/>
      <c r="BZ391" s="53"/>
      <c r="CA391" s="53"/>
      <c r="CB391" s="53"/>
      <c r="CC391" s="53"/>
      <c r="CD391" s="53"/>
      <c r="CE391" s="53"/>
      <c r="CF391" s="53"/>
      <c r="CG391" s="53"/>
      <c r="CH391" s="53"/>
      <c r="CI391" s="53"/>
      <c r="CJ391" s="53"/>
      <c r="CK391" s="53"/>
      <c r="CL391" s="53"/>
      <c r="CM391" s="53"/>
      <c r="CN391" s="53"/>
      <c r="CO391" s="53"/>
      <c r="CP391" s="53"/>
      <c r="CQ391" s="53"/>
      <c r="CR391" s="53"/>
      <c r="CS391" s="53"/>
      <c r="CT391" s="53"/>
    </row>
    <row r="392" ht="15.0" customHeight="1">
      <c r="A392" s="54" t="str">
        <f t="shared" si="3"/>
        <v/>
      </c>
      <c r="B392" s="48"/>
      <c r="C392" s="55" t="str">
        <f t="shared" si="1"/>
        <v/>
      </c>
      <c r="D392" s="55" t="str">
        <f t="shared" si="2"/>
        <v/>
      </c>
      <c r="E392" s="48"/>
      <c r="F392" s="48"/>
      <c r="G392" s="48"/>
      <c r="H392" s="56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  <c r="BB392" s="57"/>
      <c r="BC392" s="57"/>
      <c r="BD392" s="57"/>
      <c r="BE392" s="57"/>
      <c r="BF392" s="57"/>
      <c r="BG392" s="57"/>
      <c r="BH392" s="57"/>
      <c r="BI392" s="57"/>
      <c r="BJ392" s="57"/>
      <c r="BK392" s="57"/>
      <c r="BL392" s="57"/>
      <c r="BM392" s="57"/>
      <c r="BN392" s="57"/>
      <c r="BO392" s="57"/>
      <c r="BP392" s="57"/>
      <c r="BQ392" s="57"/>
      <c r="BR392" s="57"/>
      <c r="BS392" s="57"/>
      <c r="BT392" s="57"/>
      <c r="BU392" s="57"/>
      <c r="BV392" s="57"/>
      <c r="BW392" s="57"/>
      <c r="BX392" s="57"/>
      <c r="BY392" s="57"/>
      <c r="BZ392" s="57"/>
      <c r="CA392" s="57"/>
      <c r="CB392" s="57"/>
      <c r="CC392" s="57"/>
      <c r="CD392" s="57"/>
      <c r="CE392" s="57"/>
      <c r="CF392" s="57"/>
      <c r="CG392" s="57"/>
      <c r="CH392" s="57"/>
      <c r="CI392" s="57"/>
      <c r="CJ392" s="57"/>
      <c r="CK392" s="57"/>
      <c r="CL392" s="57"/>
      <c r="CM392" s="57"/>
      <c r="CN392" s="57"/>
      <c r="CO392" s="57"/>
      <c r="CP392" s="57"/>
      <c r="CQ392" s="57"/>
      <c r="CR392" s="57"/>
      <c r="CS392" s="57"/>
      <c r="CT392" s="57"/>
    </row>
    <row r="393" ht="15.0" customHeight="1">
      <c r="A393" s="51" t="str">
        <f t="shared" si="3"/>
        <v/>
      </c>
      <c r="B393" s="45"/>
      <c r="C393" s="39" t="str">
        <f t="shared" si="1"/>
        <v/>
      </c>
      <c r="D393" s="39" t="str">
        <f t="shared" si="2"/>
        <v/>
      </c>
      <c r="E393" s="45"/>
      <c r="F393" s="45"/>
      <c r="G393" s="45"/>
      <c r="H393" s="52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3"/>
      <c r="BN393" s="53"/>
      <c r="BO393" s="53"/>
      <c r="BP393" s="53"/>
      <c r="BQ393" s="53"/>
      <c r="BR393" s="53"/>
      <c r="BS393" s="53"/>
      <c r="BT393" s="53"/>
      <c r="BU393" s="53"/>
      <c r="BV393" s="53"/>
      <c r="BW393" s="53"/>
      <c r="BX393" s="53"/>
      <c r="BY393" s="53"/>
      <c r="BZ393" s="53"/>
      <c r="CA393" s="53"/>
      <c r="CB393" s="53"/>
      <c r="CC393" s="53"/>
      <c r="CD393" s="53"/>
      <c r="CE393" s="53"/>
      <c r="CF393" s="53"/>
      <c r="CG393" s="53"/>
      <c r="CH393" s="53"/>
      <c r="CI393" s="53"/>
      <c r="CJ393" s="53"/>
      <c r="CK393" s="53"/>
      <c r="CL393" s="53"/>
      <c r="CM393" s="53"/>
      <c r="CN393" s="53"/>
      <c r="CO393" s="53"/>
      <c r="CP393" s="53"/>
      <c r="CQ393" s="53"/>
      <c r="CR393" s="53"/>
      <c r="CS393" s="53"/>
      <c r="CT393" s="53"/>
    </row>
    <row r="394" ht="15.0" customHeight="1">
      <c r="A394" s="54" t="str">
        <f t="shared" si="3"/>
        <v/>
      </c>
      <c r="B394" s="48"/>
      <c r="C394" s="55" t="str">
        <f t="shared" si="1"/>
        <v/>
      </c>
      <c r="D394" s="55" t="str">
        <f t="shared" si="2"/>
        <v/>
      </c>
      <c r="E394" s="48"/>
      <c r="F394" s="48"/>
      <c r="G394" s="48"/>
      <c r="H394" s="56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  <c r="BD394" s="57"/>
      <c r="BE394" s="57"/>
      <c r="BF394" s="57"/>
      <c r="BG394" s="57"/>
      <c r="BH394" s="57"/>
      <c r="BI394" s="57"/>
      <c r="BJ394" s="57"/>
      <c r="BK394" s="57"/>
      <c r="BL394" s="57"/>
      <c r="BM394" s="57"/>
      <c r="BN394" s="57"/>
      <c r="BO394" s="57"/>
      <c r="BP394" s="57"/>
      <c r="BQ394" s="57"/>
      <c r="BR394" s="57"/>
      <c r="BS394" s="57"/>
      <c r="BT394" s="57"/>
      <c r="BU394" s="57"/>
      <c r="BV394" s="57"/>
      <c r="BW394" s="57"/>
      <c r="BX394" s="57"/>
      <c r="BY394" s="57"/>
      <c r="BZ394" s="57"/>
      <c r="CA394" s="57"/>
      <c r="CB394" s="57"/>
      <c r="CC394" s="57"/>
      <c r="CD394" s="57"/>
      <c r="CE394" s="57"/>
      <c r="CF394" s="57"/>
      <c r="CG394" s="57"/>
      <c r="CH394" s="57"/>
      <c r="CI394" s="57"/>
      <c r="CJ394" s="57"/>
      <c r="CK394" s="57"/>
      <c r="CL394" s="57"/>
      <c r="CM394" s="57"/>
      <c r="CN394" s="57"/>
      <c r="CO394" s="57"/>
      <c r="CP394" s="57"/>
      <c r="CQ394" s="57"/>
      <c r="CR394" s="57"/>
      <c r="CS394" s="57"/>
      <c r="CT394" s="57"/>
    </row>
    <row r="395" ht="15.0" customHeight="1">
      <c r="A395" s="51" t="str">
        <f t="shared" si="3"/>
        <v/>
      </c>
      <c r="B395" s="45"/>
      <c r="C395" s="39" t="str">
        <f t="shared" si="1"/>
        <v/>
      </c>
      <c r="D395" s="39" t="str">
        <f t="shared" si="2"/>
        <v/>
      </c>
      <c r="E395" s="45"/>
      <c r="F395" s="45"/>
      <c r="G395" s="45"/>
      <c r="H395" s="52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  <c r="BP395" s="53"/>
      <c r="BQ395" s="53"/>
      <c r="BR395" s="53"/>
      <c r="BS395" s="53"/>
      <c r="BT395" s="53"/>
      <c r="BU395" s="53"/>
      <c r="BV395" s="53"/>
      <c r="BW395" s="53"/>
      <c r="BX395" s="53"/>
      <c r="BY395" s="53"/>
      <c r="BZ395" s="53"/>
      <c r="CA395" s="53"/>
      <c r="CB395" s="53"/>
      <c r="CC395" s="53"/>
      <c r="CD395" s="53"/>
      <c r="CE395" s="53"/>
      <c r="CF395" s="53"/>
      <c r="CG395" s="53"/>
      <c r="CH395" s="53"/>
      <c r="CI395" s="53"/>
      <c r="CJ395" s="53"/>
      <c r="CK395" s="53"/>
      <c r="CL395" s="53"/>
      <c r="CM395" s="53"/>
      <c r="CN395" s="53"/>
      <c r="CO395" s="53"/>
      <c r="CP395" s="53"/>
      <c r="CQ395" s="53"/>
      <c r="CR395" s="53"/>
      <c r="CS395" s="53"/>
      <c r="CT395" s="53"/>
    </row>
    <row r="396" ht="15.0" customHeight="1">
      <c r="A396" s="54" t="str">
        <f t="shared" si="3"/>
        <v/>
      </c>
      <c r="B396" s="48"/>
      <c r="C396" s="55" t="str">
        <f t="shared" si="1"/>
        <v/>
      </c>
      <c r="D396" s="55" t="str">
        <f t="shared" si="2"/>
        <v/>
      </c>
      <c r="E396" s="48"/>
      <c r="F396" s="48"/>
      <c r="G396" s="48"/>
      <c r="H396" s="56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  <c r="BD396" s="57"/>
      <c r="BE396" s="57"/>
      <c r="BF396" s="57"/>
      <c r="BG396" s="57"/>
      <c r="BH396" s="57"/>
      <c r="BI396" s="57"/>
      <c r="BJ396" s="57"/>
      <c r="BK396" s="57"/>
      <c r="BL396" s="57"/>
      <c r="BM396" s="57"/>
      <c r="BN396" s="57"/>
      <c r="BO396" s="57"/>
      <c r="BP396" s="57"/>
      <c r="BQ396" s="57"/>
      <c r="BR396" s="57"/>
      <c r="BS396" s="57"/>
      <c r="BT396" s="57"/>
      <c r="BU396" s="57"/>
      <c r="BV396" s="57"/>
      <c r="BW396" s="57"/>
      <c r="BX396" s="57"/>
      <c r="BY396" s="57"/>
      <c r="BZ396" s="57"/>
      <c r="CA396" s="57"/>
      <c r="CB396" s="57"/>
      <c r="CC396" s="57"/>
      <c r="CD396" s="57"/>
      <c r="CE396" s="57"/>
      <c r="CF396" s="57"/>
      <c r="CG396" s="57"/>
      <c r="CH396" s="57"/>
      <c r="CI396" s="57"/>
      <c r="CJ396" s="57"/>
      <c r="CK396" s="57"/>
      <c r="CL396" s="57"/>
      <c r="CM396" s="57"/>
      <c r="CN396" s="57"/>
      <c r="CO396" s="57"/>
      <c r="CP396" s="57"/>
      <c r="CQ396" s="57"/>
      <c r="CR396" s="57"/>
      <c r="CS396" s="57"/>
      <c r="CT396" s="57"/>
    </row>
    <row r="397" ht="15.0" customHeight="1">
      <c r="A397" s="51" t="str">
        <f t="shared" si="3"/>
        <v/>
      </c>
      <c r="B397" s="45"/>
      <c r="C397" s="39" t="str">
        <f t="shared" si="1"/>
        <v/>
      </c>
      <c r="D397" s="39" t="str">
        <f t="shared" si="2"/>
        <v/>
      </c>
      <c r="E397" s="45"/>
      <c r="F397" s="45"/>
      <c r="G397" s="45"/>
      <c r="H397" s="52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3"/>
      <c r="BN397" s="53"/>
      <c r="BO397" s="53"/>
      <c r="BP397" s="53"/>
      <c r="BQ397" s="53"/>
      <c r="BR397" s="53"/>
      <c r="BS397" s="53"/>
      <c r="BT397" s="53"/>
      <c r="BU397" s="53"/>
      <c r="BV397" s="53"/>
      <c r="BW397" s="53"/>
      <c r="BX397" s="53"/>
      <c r="BY397" s="53"/>
      <c r="BZ397" s="53"/>
      <c r="CA397" s="53"/>
      <c r="CB397" s="53"/>
      <c r="CC397" s="53"/>
      <c r="CD397" s="53"/>
      <c r="CE397" s="53"/>
      <c r="CF397" s="53"/>
      <c r="CG397" s="53"/>
      <c r="CH397" s="53"/>
      <c r="CI397" s="53"/>
      <c r="CJ397" s="53"/>
      <c r="CK397" s="53"/>
      <c r="CL397" s="53"/>
      <c r="CM397" s="53"/>
      <c r="CN397" s="53"/>
      <c r="CO397" s="53"/>
      <c r="CP397" s="53"/>
      <c r="CQ397" s="53"/>
      <c r="CR397" s="53"/>
      <c r="CS397" s="53"/>
      <c r="CT397" s="53"/>
    </row>
    <row r="398" ht="15.0" customHeight="1">
      <c r="A398" s="54" t="str">
        <f t="shared" si="3"/>
        <v/>
      </c>
      <c r="B398" s="48"/>
      <c r="C398" s="55" t="str">
        <f t="shared" si="1"/>
        <v/>
      </c>
      <c r="D398" s="55" t="str">
        <f t="shared" si="2"/>
        <v/>
      </c>
      <c r="E398" s="48"/>
      <c r="F398" s="48"/>
      <c r="G398" s="48"/>
      <c r="H398" s="56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  <c r="BD398" s="57"/>
      <c r="BE398" s="57"/>
      <c r="BF398" s="57"/>
      <c r="BG398" s="57"/>
      <c r="BH398" s="57"/>
      <c r="BI398" s="57"/>
      <c r="BJ398" s="57"/>
      <c r="BK398" s="57"/>
      <c r="BL398" s="57"/>
      <c r="BM398" s="57"/>
      <c r="BN398" s="57"/>
      <c r="BO398" s="57"/>
      <c r="BP398" s="57"/>
      <c r="BQ398" s="57"/>
      <c r="BR398" s="57"/>
      <c r="BS398" s="57"/>
      <c r="BT398" s="57"/>
      <c r="BU398" s="57"/>
      <c r="BV398" s="57"/>
      <c r="BW398" s="57"/>
      <c r="BX398" s="57"/>
      <c r="BY398" s="57"/>
      <c r="BZ398" s="57"/>
      <c r="CA398" s="57"/>
      <c r="CB398" s="57"/>
      <c r="CC398" s="57"/>
      <c r="CD398" s="57"/>
      <c r="CE398" s="57"/>
      <c r="CF398" s="57"/>
      <c r="CG398" s="57"/>
      <c r="CH398" s="57"/>
      <c r="CI398" s="57"/>
      <c r="CJ398" s="57"/>
      <c r="CK398" s="57"/>
      <c r="CL398" s="57"/>
      <c r="CM398" s="57"/>
      <c r="CN398" s="57"/>
      <c r="CO398" s="57"/>
      <c r="CP398" s="57"/>
      <c r="CQ398" s="57"/>
      <c r="CR398" s="57"/>
      <c r="CS398" s="57"/>
      <c r="CT398" s="57"/>
    </row>
    <row r="399" ht="15.0" customHeight="1">
      <c r="A399" s="51" t="str">
        <f t="shared" si="3"/>
        <v/>
      </c>
      <c r="B399" s="45"/>
      <c r="C399" s="39" t="str">
        <f t="shared" si="1"/>
        <v/>
      </c>
      <c r="D399" s="39" t="str">
        <f t="shared" si="2"/>
        <v/>
      </c>
      <c r="E399" s="45"/>
      <c r="F399" s="45"/>
      <c r="G399" s="45"/>
      <c r="H399" s="52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3"/>
      <c r="BN399" s="53"/>
      <c r="BO399" s="53"/>
      <c r="BP399" s="53"/>
      <c r="BQ399" s="53"/>
      <c r="BR399" s="53"/>
      <c r="BS399" s="53"/>
      <c r="BT399" s="53"/>
      <c r="BU399" s="53"/>
      <c r="BV399" s="53"/>
      <c r="BW399" s="53"/>
      <c r="BX399" s="53"/>
      <c r="BY399" s="53"/>
      <c r="BZ399" s="53"/>
      <c r="CA399" s="53"/>
      <c r="CB399" s="53"/>
      <c r="CC399" s="53"/>
      <c r="CD399" s="53"/>
      <c r="CE399" s="53"/>
      <c r="CF399" s="53"/>
      <c r="CG399" s="53"/>
      <c r="CH399" s="53"/>
      <c r="CI399" s="53"/>
      <c r="CJ399" s="53"/>
      <c r="CK399" s="53"/>
      <c r="CL399" s="53"/>
      <c r="CM399" s="53"/>
      <c r="CN399" s="53"/>
      <c r="CO399" s="53"/>
      <c r="CP399" s="53"/>
      <c r="CQ399" s="53"/>
      <c r="CR399" s="53"/>
      <c r="CS399" s="53"/>
      <c r="CT399" s="53"/>
    </row>
    <row r="400" ht="15.0" customHeight="1">
      <c r="A400" s="54" t="str">
        <f t="shared" si="3"/>
        <v/>
      </c>
      <c r="B400" s="48"/>
      <c r="C400" s="55" t="str">
        <f t="shared" si="1"/>
        <v/>
      </c>
      <c r="D400" s="55" t="str">
        <f t="shared" si="2"/>
        <v/>
      </c>
      <c r="E400" s="48"/>
      <c r="F400" s="48"/>
      <c r="G400" s="48"/>
      <c r="H400" s="56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57"/>
      <c r="BS400" s="57"/>
      <c r="BT400" s="57"/>
      <c r="BU400" s="57"/>
      <c r="BV400" s="57"/>
      <c r="BW400" s="57"/>
      <c r="BX400" s="57"/>
      <c r="BY400" s="57"/>
      <c r="BZ400" s="57"/>
      <c r="CA400" s="57"/>
      <c r="CB400" s="57"/>
      <c r="CC400" s="57"/>
      <c r="CD400" s="57"/>
      <c r="CE400" s="57"/>
      <c r="CF400" s="57"/>
      <c r="CG400" s="57"/>
      <c r="CH400" s="57"/>
      <c r="CI400" s="57"/>
      <c r="CJ400" s="57"/>
      <c r="CK400" s="57"/>
      <c r="CL400" s="57"/>
      <c r="CM400" s="57"/>
      <c r="CN400" s="57"/>
      <c r="CO400" s="57"/>
      <c r="CP400" s="57"/>
      <c r="CQ400" s="57"/>
      <c r="CR400" s="57"/>
      <c r="CS400" s="57"/>
      <c r="CT400" s="57"/>
    </row>
    <row r="401" ht="15.0" customHeight="1">
      <c r="A401" s="51" t="str">
        <f t="shared" si="3"/>
        <v/>
      </c>
      <c r="B401" s="45"/>
      <c r="C401" s="39" t="str">
        <f t="shared" si="1"/>
        <v/>
      </c>
      <c r="D401" s="39" t="str">
        <f t="shared" si="2"/>
        <v/>
      </c>
      <c r="E401" s="45"/>
      <c r="F401" s="45"/>
      <c r="G401" s="45"/>
      <c r="H401" s="52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  <c r="CD401" s="53"/>
      <c r="CE401" s="53"/>
      <c r="CF401" s="53"/>
      <c r="CG401" s="53"/>
      <c r="CH401" s="53"/>
      <c r="CI401" s="53"/>
      <c r="CJ401" s="53"/>
      <c r="CK401" s="53"/>
      <c r="CL401" s="53"/>
      <c r="CM401" s="53"/>
      <c r="CN401" s="53"/>
      <c r="CO401" s="53"/>
      <c r="CP401" s="53"/>
      <c r="CQ401" s="53"/>
      <c r="CR401" s="53"/>
      <c r="CS401" s="53"/>
      <c r="CT401" s="53"/>
    </row>
    <row r="402" ht="15.0" customHeight="1">
      <c r="A402" s="54" t="str">
        <f t="shared" si="3"/>
        <v/>
      </c>
      <c r="B402" s="48"/>
      <c r="C402" s="55" t="str">
        <f t="shared" si="1"/>
        <v/>
      </c>
      <c r="D402" s="55" t="str">
        <f t="shared" si="2"/>
        <v/>
      </c>
      <c r="E402" s="48"/>
      <c r="F402" s="48"/>
      <c r="G402" s="48"/>
      <c r="H402" s="56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  <c r="BD402" s="57"/>
      <c r="BE402" s="57"/>
      <c r="BF402" s="57"/>
      <c r="BG402" s="57"/>
      <c r="BH402" s="57"/>
      <c r="BI402" s="57"/>
      <c r="BJ402" s="57"/>
      <c r="BK402" s="57"/>
      <c r="BL402" s="57"/>
      <c r="BM402" s="57"/>
      <c r="BN402" s="57"/>
      <c r="BO402" s="57"/>
      <c r="BP402" s="57"/>
      <c r="BQ402" s="57"/>
      <c r="BR402" s="57"/>
      <c r="BS402" s="57"/>
      <c r="BT402" s="57"/>
      <c r="BU402" s="57"/>
      <c r="BV402" s="57"/>
      <c r="BW402" s="57"/>
      <c r="BX402" s="57"/>
      <c r="BY402" s="57"/>
      <c r="BZ402" s="57"/>
      <c r="CA402" s="57"/>
      <c r="CB402" s="57"/>
      <c r="CC402" s="57"/>
      <c r="CD402" s="57"/>
      <c r="CE402" s="57"/>
      <c r="CF402" s="57"/>
      <c r="CG402" s="57"/>
      <c r="CH402" s="57"/>
      <c r="CI402" s="57"/>
      <c r="CJ402" s="57"/>
      <c r="CK402" s="57"/>
      <c r="CL402" s="57"/>
      <c r="CM402" s="57"/>
      <c r="CN402" s="57"/>
      <c r="CO402" s="57"/>
      <c r="CP402" s="57"/>
      <c r="CQ402" s="57"/>
      <c r="CR402" s="57"/>
      <c r="CS402" s="57"/>
      <c r="CT402" s="57"/>
    </row>
    <row r="403" ht="15.0" customHeight="1">
      <c r="A403" s="51" t="str">
        <f t="shared" si="3"/>
        <v/>
      </c>
      <c r="B403" s="45"/>
      <c r="C403" s="39" t="str">
        <f t="shared" si="1"/>
        <v/>
      </c>
      <c r="D403" s="39" t="str">
        <f t="shared" si="2"/>
        <v/>
      </c>
      <c r="E403" s="45"/>
      <c r="F403" s="45"/>
      <c r="G403" s="45"/>
      <c r="H403" s="52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3"/>
      <c r="BN403" s="53"/>
      <c r="BO403" s="53"/>
      <c r="BP403" s="53"/>
      <c r="BQ403" s="53"/>
      <c r="BR403" s="53"/>
      <c r="BS403" s="53"/>
      <c r="BT403" s="53"/>
      <c r="BU403" s="53"/>
      <c r="BV403" s="53"/>
      <c r="BW403" s="53"/>
      <c r="BX403" s="53"/>
      <c r="BY403" s="53"/>
      <c r="BZ403" s="53"/>
      <c r="CA403" s="53"/>
      <c r="CB403" s="53"/>
      <c r="CC403" s="53"/>
      <c r="CD403" s="53"/>
      <c r="CE403" s="53"/>
      <c r="CF403" s="53"/>
      <c r="CG403" s="53"/>
      <c r="CH403" s="53"/>
      <c r="CI403" s="53"/>
      <c r="CJ403" s="53"/>
      <c r="CK403" s="53"/>
      <c r="CL403" s="53"/>
      <c r="CM403" s="53"/>
      <c r="CN403" s="53"/>
      <c r="CO403" s="53"/>
      <c r="CP403" s="53"/>
      <c r="CQ403" s="53"/>
      <c r="CR403" s="53"/>
      <c r="CS403" s="53"/>
      <c r="CT403" s="53"/>
    </row>
    <row r="404" ht="15.0" customHeight="1">
      <c r="A404" s="54" t="str">
        <f t="shared" si="3"/>
        <v/>
      </c>
      <c r="B404" s="48"/>
      <c r="C404" s="55" t="str">
        <f t="shared" si="1"/>
        <v/>
      </c>
      <c r="D404" s="55" t="str">
        <f t="shared" si="2"/>
        <v/>
      </c>
      <c r="E404" s="48"/>
      <c r="F404" s="48"/>
      <c r="G404" s="48"/>
      <c r="H404" s="56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7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  <c r="BV404" s="57"/>
      <c r="BW404" s="57"/>
      <c r="BX404" s="57"/>
      <c r="BY404" s="57"/>
      <c r="BZ404" s="57"/>
      <c r="CA404" s="57"/>
      <c r="CB404" s="57"/>
      <c r="CC404" s="57"/>
      <c r="CD404" s="57"/>
      <c r="CE404" s="57"/>
      <c r="CF404" s="57"/>
      <c r="CG404" s="57"/>
      <c r="CH404" s="57"/>
      <c r="CI404" s="57"/>
      <c r="CJ404" s="57"/>
      <c r="CK404" s="57"/>
      <c r="CL404" s="57"/>
      <c r="CM404" s="57"/>
      <c r="CN404" s="57"/>
      <c r="CO404" s="57"/>
      <c r="CP404" s="57"/>
      <c r="CQ404" s="57"/>
      <c r="CR404" s="57"/>
      <c r="CS404" s="57"/>
      <c r="CT404" s="57"/>
    </row>
    <row r="405" ht="15.0" customHeight="1">
      <c r="A405" s="51" t="str">
        <f t="shared" si="3"/>
        <v/>
      </c>
      <c r="B405" s="45"/>
      <c r="C405" s="39" t="str">
        <f t="shared" si="1"/>
        <v/>
      </c>
      <c r="D405" s="39" t="str">
        <f t="shared" si="2"/>
        <v/>
      </c>
      <c r="E405" s="45"/>
      <c r="F405" s="45"/>
      <c r="G405" s="45"/>
      <c r="H405" s="52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3"/>
      <c r="BN405" s="53"/>
      <c r="BO405" s="53"/>
      <c r="BP405" s="53"/>
      <c r="BQ405" s="53"/>
      <c r="BR405" s="53"/>
      <c r="BS405" s="53"/>
      <c r="BT405" s="53"/>
      <c r="BU405" s="53"/>
      <c r="BV405" s="53"/>
      <c r="BW405" s="53"/>
      <c r="BX405" s="53"/>
      <c r="BY405" s="53"/>
      <c r="BZ405" s="53"/>
      <c r="CA405" s="53"/>
      <c r="CB405" s="53"/>
      <c r="CC405" s="53"/>
      <c r="CD405" s="53"/>
      <c r="CE405" s="53"/>
      <c r="CF405" s="53"/>
      <c r="CG405" s="53"/>
      <c r="CH405" s="53"/>
      <c r="CI405" s="53"/>
      <c r="CJ405" s="53"/>
      <c r="CK405" s="53"/>
      <c r="CL405" s="53"/>
      <c r="CM405" s="53"/>
      <c r="CN405" s="53"/>
      <c r="CO405" s="53"/>
      <c r="CP405" s="53"/>
      <c r="CQ405" s="53"/>
      <c r="CR405" s="53"/>
      <c r="CS405" s="53"/>
      <c r="CT405" s="53"/>
    </row>
    <row r="406" ht="15.0" customHeight="1">
      <c r="A406" s="54" t="str">
        <f t="shared" si="3"/>
        <v/>
      </c>
      <c r="B406" s="48"/>
      <c r="C406" s="55" t="str">
        <f t="shared" si="1"/>
        <v/>
      </c>
      <c r="D406" s="55" t="str">
        <f t="shared" si="2"/>
        <v/>
      </c>
      <c r="E406" s="48"/>
      <c r="F406" s="48"/>
      <c r="G406" s="48"/>
      <c r="H406" s="56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  <c r="BV406" s="57"/>
      <c r="BW406" s="57"/>
      <c r="BX406" s="57"/>
      <c r="BY406" s="57"/>
      <c r="BZ406" s="57"/>
      <c r="CA406" s="57"/>
      <c r="CB406" s="57"/>
      <c r="CC406" s="57"/>
      <c r="CD406" s="57"/>
      <c r="CE406" s="57"/>
      <c r="CF406" s="57"/>
      <c r="CG406" s="57"/>
      <c r="CH406" s="57"/>
      <c r="CI406" s="57"/>
      <c r="CJ406" s="57"/>
      <c r="CK406" s="57"/>
      <c r="CL406" s="57"/>
      <c r="CM406" s="57"/>
      <c r="CN406" s="57"/>
      <c r="CO406" s="57"/>
      <c r="CP406" s="57"/>
      <c r="CQ406" s="57"/>
      <c r="CR406" s="57"/>
      <c r="CS406" s="57"/>
      <c r="CT406" s="57"/>
    </row>
    <row r="407" ht="15.0" customHeight="1">
      <c r="A407" s="51" t="str">
        <f t="shared" si="3"/>
        <v/>
      </c>
      <c r="B407" s="45"/>
      <c r="C407" s="39" t="str">
        <f t="shared" si="1"/>
        <v/>
      </c>
      <c r="D407" s="39" t="str">
        <f t="shared" si="2"/>
        <v/>
      </c>
      <c r="E407" s="45"/>
      <c r="F407" s="45"/>
      <c r="G407" s="45"/>
      <c r="H407" s="52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  <c r="CD407" s="53"/>
      <c r="CE407" s="53"/>
      <c r="CF407" s="53"/>
      <c r="CG407" s="53"/>
      <c r="CH407" s="53"/>
      <c r="CI407" s="53"/>
      <c r="CJ407" s="53"/>
      <c r="CK407" s="53"/>
      <c r="CL407" s="53"/>
      <c r="CM407" s="53"/>
      <c r="CN407" s="53"/>
      <c r="CO407" s="53"/>
      <c r="CP407" s="53"/>
      <c r="CQ407" s="53"/>
      <c r="CR407" s="53"/>
      <c r="CS407" s="53"/>
      <c r="CT407" s="53"/>
    </row>
    <row r="408" ht="15.0" customHeight="1">
      <c r="A408" s="54" t="str">
        <f t="shared" si="3"/>
        <v/>
      </c>
      <c r="B408" s="48"/>
      <c r="C408" s="55" t="str">
        <f t="shared" si="1"/>
        <v/>
      </c>
      <c r="D408" s="55" t="str">
        <f t="shared" si="2"/>
        <v/>
      </c>
      <c r="E408" s="48"/>
      <c r="F408" s="48"/>
      <c r="G408" s="48"/>
      <c r="H408" s="56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7"/>
      <c r="BE408" s="57"/>
      <c r="BF408" s="57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/>
      <c r="BR408" s="57"/>
      <c r="BS408" s="57"/>
      <c r="BT408" s="57"/>
      <c r="BU408" s="57"/>
      <c r="BV408" s="57"/>
      <c r="BW408" s="57"/>
      <c r="BX408" s="57"/>
      <c r="BY408" s="57"/>
      <c r="BZ408" s="57"/>
      <c r="CA408" s="57"/>
      <c r="CB408" s="57"/>
      <c r="CC408" s="57"/>
      <c r="CD408" s="57"/>
      <c r="CE408" s="57"/>
      <c r="CF408" s="57"/>
      <c r="CG408" s="57"/>
      <c r="CH408" s="57"/>
      <c r="CI408" s="57"/>
      <c r="CJ408" s="57"/>
      <c r="CK408" s="57"/>
      <c r="CL408" s="57"/>
      <c r="CM408" s="57"/>
      <c r="CN408" s="57"/>
      <c r="CO408" s="57"/>
      <c r="CP408" s="57"/>
      <c r="CQ408" s="57"/>
      <c r="CR408" s="57"/>
      <c r="CS408" s="57"/>
      <c r="CT408" s="57"/>
    </row>
    <row r="409" ht="15.0" customHeight="1">
      <c r="A409" s="51" t="str">
        <f t="shared" si="3"/>
        <v/>
      </c>
      <c r="B409" s="45"/>
      <c r="C409" s="39" t="str">
        <f t="shared" si="1"/>
        <v/>
      </c>
      <c r="D409" s="39" t="str">
        <f t="shared" si="2"/>
        <v/>
      </c>
      <c r="E409" s="45"/>
      <c r="F409" s="45"/>
      <c r="G409" s="45"/>
      <c r="H409" s="52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3"/>
      <c r="BN409" s="53"/>
      <c r="BO409" s="53"/>
      <c r="BP409" s="53"/>
      <c r="BQ409" s="53"/>
      <c r="BR409" s="53"/>
      <c r="BS409" s="53"/>
      <c r="BT409" s="53"/>
      <c r="BU409" s="53"/>
      <c r="BV409" s="53"/>
      <c r="BW409" s="53"/>
      <c r="BX409" s="53"/>
      <c r="BY409" s="53"/>
      <c r="BZ409" s="53"/>
      <c r="CA409" s="53"/>
      <c r="CB409" s="53"/>
      <c r="CC409" s="53"/>
      <c r="CD409" s="53"/>
      <c r="CE409" s="53"/>
      <c r="CF409" s="53"/>
      <c r="CG409" s="53"/>
      <c r="CH409" s="53"/>
      <c r="CI409" s="53"/>
      <c r="CJ409" s="53"/>
      <c r="CK409" s="53"/>
      <c r="CL409" s="53"/>
      <c r="CM409" s="53"/>
      <c r="CN409" s="53"/>
      <c r="CO409" s="53"/>
      <c r="CP409" s="53"/>
      <c r="CQ409" s="53"/>
      <c r="CR409" s="53"/>
      <c r="CS409" s="53"/>
      <c r="CT409" s="53"/>
    </row>
    <row r="410" ht="15.0" customHeight="1">
      <c r="A410" s="54" t="str">
        <f t="shared" si="3"/>
        <v/>
      </c>
      <c r="B410" s="48"/>
      <c r="C410" s="55" t="str">
        <f t="shared" si="1"/>
        <v/>
      </c>
      <c r="D410" s="55" t="str">
        <f t="shared" si="2"/>
        <v/>
      </c>
      <c r="E410" s="48"/>
      <c r="F410" s="48"/>
      <c r="G410" s="48"/>
      <c r="H410" s="56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7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  <c r="BV410" s="57"/>
      <c r="BW410" s="57"/>
      <c r="BX410" s="57"/>
      <c r="BY410" s="57"/>
      <c r="BZ410" s="57"/>
      <c r="CA410" s="57"/>
      <c r="CB410" s="57"/>
      <c r="CC410" s="57"/>
      <c r="CD410" s="57"/>
      <c r="CE410" s="57"/>
      <c r="CF410" s="57"/>
      <c r="CG410" s="57"/>
      <c r="CH410" s="57"/>
      <c r="CI410" s="57"/>
      <c r="CJ410" s="57"/>
      <c r="CK410" s="57"/>
      <c r="CL410" s="57"/>
      <c r="CM410" s="57"/>
      <c r="CN410" s="57"/>
      <c r="CO410" s="57"/>
      <c r="CP410" s="57"/>
      <c r="CQ410" s="57"/>
      <c r="CR410" s="57"/>
      <c r="CS410" s="57"/>
      <c r="CT410" s="57"/>
    </row>
    <row r="411" ht="15.0" customHeight="1">
      <c r="A411" s="51" t="str">
        <f t="shared" si="3"/>
        <v/>
      </c>
      <c r="B411" s="45"/>
      <c r="C411" s="39" t="str">
        <f t="shared" si="1"/>
        <v/>
      </c>
      <c r="D411" s="39" t="str">
        <f t="shared" si="2"/>
        <v/>
      </c>
      <c r="E411" s="45"/>
      <c r="F411" s="45"/>
      <c r="G411" s="45"/>
      <c r="H411" s="52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3"/>
      <c r="BN411" s="53"/>
      <c r="BO411" s="53"/>
      <c r="BP411" s="53"/>
      <c r="BQ411" s="53"/>
      <c r="BR411" s="53"/>
      <c r="BS411" s="53"/>
      <c r="BT411" s="53"/>
      <c r="BU411" s="53"/>
      <c r="BV411" s="53"/>
      <c r="BW411" s="53"/>
      <c r="BX411" s="53"/>
      <c r="BY411" s="53"/>
      <c r="BZ411" s="53"/>
      <c r="CA411" s="53"/>
      <c r="CB411" s="53"/>
      <c r="CC411" s="53"/>
      <c r="CD411" s="53"/>
      <c r="CE411" s="53"/>
      <c r="CF411" s="53"/>
      <c r="CG411" s="53"/>
      <c r="CH411" s="53"/>
      <c r="CI411" s="53"/>
      <c r="CJ411" s="53"/>
      <c r="CK411" s="53"/>
      <c r="CL411" s="53"/>
      <c r="CM411" s="53"/>
      <c r="CN411" s="53"/>
      <c r="CO411" s="53"/>
      <c r="CP411" s="53"/>
      <c r="CQ411" s="53"/>
      <c r="CR411" s="53"/>
      <c r="CS411" s="53"/>
      <c r="CT411" s="53"/>
    </row>
    <row r="412" ht="15.0" customHeight="1">
      <c r="A412" s="54" t="str">
        <f t="shared" si="3"/>
        <v/>
      </c>
      <c r="B412" s="48"/>
      <c r="C412" s="55" t="str">
        <f t="shared" si="1"/>
        <v/>
      </c>
      <c r="D412" s="55" t="str">
        <f t="shared" si="2"/>
        <v/>
      </c>
      <c r="E412" s="48"/>
      <c r="F412" s="48"/>
      <c r="G412" s="48"/>
      <c r="H412" s="56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  <c r="BV412" s="57"/>
      <c r="BW412" s="57"/>
      <c r="BX412" s="57"/>
      <c r="BY412" s="57"/>
      <c r="BZ412" s="57"/>
      <c r="CA412" s="57"/>
      <c r="CB412" s="57"/>
      <c r="CC412" s="57"/>
      <c r="CD412" s="57"/>
      <c r="CE412" s="57"/>
      <c r="CF412" s="57"/>
      <c r="CG412" s="57"/>
      <c r="CH412" s="57"/>
      <c r="CI412" s="57"/>
      <c r="CJ412" s="57"/>
      <c r="CK412" s="57"/>
      <c r="CL412" s="57"/>
      <c r="CM412" s="57"/>
      <c r="CN412" s="57"/>
      <c r="CO412" s="57"/>
      <c r="CP412" s="57"/>
      <c r="CQ412" s="57"/>
      <c r="CR412" s="57"/>
      <c r="CS412" s="57"/>
      <c r="CT412" s="57"/>
    </row>
    <row r="413" ht="15.0" customHeight="1">
      <c r="A413" s="51" t="str">
        <f t="shared" si="3"/>
        <v/>
      </c>
      <c r="B413" s="45"/>
      <c r="C413" s="39" t="str">
        <f t="shared" si="1"/>
        <v/>
      </c>
      <c r="D413" s="39" t="str">
        <f t="shared" si="2"/>
        <v/>
      </c>
      <c r="E413" s="45"/>
      <c r="F413" s="45"/>
      <c r="G413" s="45"/>
      <c r="H413" s="52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3"/>
      <c r="BN413" s="53"/>
      <c r="BO413" s="53"/>
      <c r="BP413" s="53"/>
      <c r="BQ413" s="53"/>
      <c r="BR413" s="53"/>
      <c r="BS413" s="53"/>
      <c r="BT413" s="53"/>
      <c r="BU413" s="53"/>
      <c r="BV413" s="53"/>
      <c r="BW413" s="53"/>
      <c r="BX413" s="53"/>
      <c r="BY413" s="53"/>
      <c r="BZ413" s="53"/>
      <c r="CA413" s="53"/>
      <c r="CB413" s="53"/>
      <c r="CC413" s="53"/>
      <c r="CD413" s="53"/>
      <c r="CE413" s="53"/>
      <c r="CF413" s="53"/>
      <c r="CG413" s="53"/>
      <c r="CH413" s="53"/>
      <c r="CI413" s="53"/>
      <c r="CJ413" s="53"/>
      <c r="CK413" s="53"/>
      <c r="CL413" s="53"/>
      <c r="CM413" s="53"/>
      <c r="CN413" s="53"/>
      <c r="CO413" s="53"/>
      <c r="CP413" s="53"/>
      <c r="CQ413" s="53"/>
      <c r="CR413" s="53"/>
      <c r="CS413" s="53"/>
      <c r="CT413" s="53"/>
    </row>
    <row r="414" ht="15.0" customHeight="1">
      <c r="A414" s="54" t="str">
        <f t="shared" si="3"/>
        <v/>
      </c>
      <c r="B414" s="48"/>
      <c r="C414" s="55" t="str">
        <f t="shared" si="1"/>
        <v/>
      </c>
      <c r="D414" s="55" t="str">
        <f t="shared" si="2"/>
        <v/>
      </c>
      <c r="E414" s="48"/>
      <c r="F414" s="48"/>
      <c r="G414" s="48"/>
      <c r="H414" s="56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7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57"/>
      <c r="BS414" s="57"/>
      <c r="BT414" s="57"/>
      <c r="BU414" s="57"/>
      <c r="BV414" s="57"/>
      <c r="BW414" s="57"/>
      <c r="BX414" s="57"/>
      <c r="BY414" s="57"/>
      <c r="BZ414" s="57"/>
      <c r="CA414" s="57"/>
      <c r="CB414" s="57"/>
      <c r="CC414" s="57"/>
      <c r="CD414" s="57"/>
      <c r="CE414" s="57"/>
      <c r="CF414" s="57"/>
      <c r="CG414" s="57"/>
      <c r="CH414" s="57"/>
      <c r="CI414" s="57"/>
      <c r="CJ414" s="57"/>
      <c r="CK414" s="57"/>
      <c r="CL414" s="57"/>
      <c r="CM414" s="57"/>
      <c r="CN414" s="57"/>
      <c r="CO414" s="57"/>
      <c r="CP414" s="57"/>
      <c r="CQ414" s="57"/>
      <c r="CR414" s="57"/>
      <c r="CS414" s="57"/>
      <c r="CT414" s="57"/>
    </row>
    <row r="415" ht="15.0" customHeight="1">
      <c r="A415" s="51" t="str">
        <f t="shared" si="3"/>
        <v/>
      </c>
      <c r="B415" s="45"/>
      <c r="C415" s="39" t="str">
        <f t="shared" si="1"/>
        <v/>
      </c>
      <c r="D415" s="39" t="str">
        <f t="shared" si="2"/>
        <v/>
      </c>
      <c r="E415" s="45"/>
      <c r="F415" s="45"/>
      <c r="G415" s="45"/>
      <c r="H415" s="52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3"/>
      <c r="BN415" s="53"/>
      <c r="BO415" s="53"/>
      <c r="BP415" s="53"/>
      <c r="BQ415" s="53"/>
      <c r="BR415" s="53"/>
      <c r="BS415" s="53"/>
      <c r="BT415" s="53"/>
      <c r="BU415" s="53"/>
      <c r="BV415" s="53"/>
      <c r="BW415" s="53"/>
      <c r="BX415" s="53"/>
      <c r="BY415" s="53"/>
      <c r="BZ415" s="53"/>
      <c r="CA415" s="53"/>
      <c r="CB415" s="53"/>
      <c r="CC415" s="53"/>
      <c r="CD415" s="53"/>
      <c r="CE415" s="53"/>
      <c r="CF415" s="53"/>
      <c r="CG415" s="53"/>
      <c r="CH415" s="53"/>
      <c r="CI415" s="53"/>
      <c r="CJ415" s="53"/>
      <c r="CK415" s="53"/>
      <c r="CL415" s="53"/>
      <c r="CM415" s="53"/>
      <c r="CN415" s="53"/>
      <c r="CO415" s="53"/>
      <c r="CP415" s="53"/>
      <c r="CQ415" s="53"/>
      <c r="CR415" s="53"/>
      <c r="CS415" s="53"/>
      <c r="CT415" s="53"/>
    </row>
    <row r="416" ht="15.0" customHeight="1">
      <c r="A416" s="54" t="str">
        <f t="shared" si="3"/>
        <v/>
      </c>
      <c r="B416" s="48"/>
      <c r="C416" s="55" t="str">
        <f t="shared" si="1"/>
        <v/>
      </c>
      <c r="D416" s="55" t="str">
        <f t="shared" si="2"/>
        <v/>
      </c>
      <c r="E416" s="48"/>
      <c r="F416" s="48"/>
      <c r="G416" s="48"/>
      <c r="H416" s="56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7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57"/>
      <c r="BS416" s="57"/>
      <c r="BT416" s="57"/>
      <c r="BU416" s="57"/>
      <c r="BV416" s="57"/>
      <c r="BW416" s="57"/>
      <c r="BX416" s="57"/>
      <c r="BY416" s="57"/>
      <c r="BZ416" s="57"/>
      <c r="CA416" s="57"/>
      <c r="CB416" s="57"/>
      <c r="CC416" s="57"/>
      <c r="CD416" s="57"/>
      <c r="CE416" s="57"/>
      <c r="CF416" s="57"/>
      <c r="CG416" s="57"/>
      <c r="CH416" s="57"/>
      <c r="CI416" s="57"/>
      <c r="CJ416" s="57"/>
      <c r="CK416" s="57"/>
      <c r="CL416" s="57"/>
      <c r="CM416" s="57"/>
      <c r="CN416" s="57"/>
      <c r="CO416" s="57"/>
      <c r="CP416" s="57"/>
      <c r="CQ416" s="57"/>
      <c r="CR416" s="57"/>
      <c r="CS416" s="57"/>
      <c r="CT416" s="57"/>
    </row>
    <row r="417" ht="15.0" customHeight="1">
      <c r="A417" s="51" t="str">
        <f t="shared" si="3"/>
        <v/>
      </c>
      <c r="B417" s="45"/>
      <c r="C417" s="39" t="str">
        <f t="shared" si="1"/>
        <v/>
      </c>
      <c r="D417" s="39" t="str">
        <f t="shared" si="2"/>
        <v/>
      </c>
      <c r="E417" s="45"/>
      <c r="F417" s="45"/>
      <c r="G417" s="45"/>
      <c r="H417" s="52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/>
      <c r="BO417" s="53"/>
      <c r="BP417" s="53"/>
      <c r="BQ417" s="53"/>
      <c r="BR417" s="53"/>
      <c r="BS417" s="53"/>
      <c r="BT417" s="53"/>
      <c r="BU417" s="53"/>
      <c r="BV417" s="53"/>
      <c r="BW417" s="53"/>
      <c r="BX417" s="53"/>
      <c r="BY417" s="53"/>
      <c r="BZ417" s="53"/>
      <c r="CA417" s="53"/>
      <c r="CB417" s="53"/>
      <c r="CC417" s="53"/>
      <c r="CD417" s="53"/>
      <c r="CE417" s="53"/>
      <c r="CF417" s="53"/>
      <c r="CG417" s="53"/>
      <c r="CH417" s="53"/>
      <c r="CI417" s="53"/>
      <c r="CJ417" s="53"/>
      <c r="CK417" s="53"/>
      <c r="CL417" s="53"/>
      <c r="CM417" s="53"/>
      <c r="CN417" s="53"/>
      <c r="CO417" s="53"/>
      <c r="CP417" s="53"/>
      <c r="CQ417" s="53"/>
      <c r="CR417" s="53"/>
      <c r="CS417" s="53"/>
      <c r="CT417" s="53"/>
    </row>
    <row r="418" ht="15.0" customHeight="1">
      <c r="A418" s="54" t="str">
        <f t="shared" si="3"/>
        <v/>
      </c>
      <c r="B418" s="48"/>
      <c r="C418" s="55" t="str">
        <f t="shared" si="1"/>
        <v/>
      </c>
      <c r="D418" s="55" t="str">
        <f t="shared" si="2"/>
        <v/>
      </c>
      <c r="E418" s="48"/>
      <c r="F418" s="48"/>
      <c r="G418" s="48"/>
      <c r="H418" s="56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7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57"/>
      <c r="BS418" s="57"/>
      <c r="BT418" s="57"/>
      <c r="BU418" s="57"/>
      <c r="BV418" s="57"/>
      <c r="BW418" s="57"/>
      <c r="BX418" s="57"/>
      <c r="BY418" s="57"/>
      <c r="BZ418" s="57"/>
      <c r="CA418" s="57"/>
      <c r="CB418" s="57"/>
      <c r="CC418" s="57"/>
      <c r="CD418" s="57"/>
      <c r="CE418" s="57"/>
      <c r="CF418" s="57"/>
      <c r="CG418" s="57"/>
      <c r="CH418" s="57"/>
      <c r="CI418" s="57"/>
      <c r="CJ418" s="57"/>
      <c r="CK418" s="57"/>
      <c r="CL418" s="57"/>
      <c r="CM418" s="57"/>
      <c r="CN418" s="57"/>
      <c r="CO418" s="57"/>
      <c r="CP418" s="57"/>
      <c r="CQ418" s="57"/>
      <c r="CR418" s="57"/>
      <c r="CS418" s="57"/>
      <c r="CT418" s="57"/>
    </row>
    <row r="419" ht="15.0" customHeight="1">
      <c r="A419" s="51" t="str">
        <f t="shared" si="3"/>
        <v/>
      </c>
      <c r="B419" s="45"/>
      <c r="C419" s="39" t="str">
        <f t="shared" si="1"/>
        <v/>
      </c>
      <c r="D419" s="39" t="str">
        <f t="shared" si="2"/>
        <v/>
      </c>
      <c r="E419" s="45"/>
      <c r="F419" s="45"/>
      <c r="G419" s="45"/>
      <c r="H419" s="52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/>
      <c r="BO419" s="53"/>
      <c r="BP419" s="53"/>
      <c r="BQ419" s="53"/>
      <c r="BR419" s="53"/>
      <c r="BS419" s="53"/>
      <c r="BT419" s="53"/>
      <c r="BU419" s="53"/>
      <c r="BV419" s="53"/>
      <c r="BW419" s="53"/>
      <c r="BX419" s="53"/>
      <c r="BY419" s="53"/>
      <c r="BZ419" s="53"/>
      <c r="CA419" s="53"/>
      <c r="CB419" s="53"/>
      <c r="CC419" s="53"/>
      <c r="CD419" s="53"/>
      <c r="CE419" s="53"/>
      <c r="CF419" s="53"/>
      <c r="CG419" s="53"/>
      <c r="CH419" s="53"/>
      <c r="CI419" s="53"/>
      <c r="CJ419" s="53"/>
      <c r="CK419" s="53"/>
      <c r="CL419" s="53"/>
      <c r="CM419" s="53"/>
      <c r="CN419" s="53"/>
      <c r="CO419" s="53"/>
      <c r="CP419" s="53"/>
      <c r="CQ419" s="53"/>
      <c r="CR419" s="53"/>
      <c r="CS419" s="53"/>
      <c r="CT419" s="53"/>
    </row>
    <row r="420" ht="15.0" customHeight="1">
      <c r="A420" s="54" t="str">
        <f t="shared" si="3"/>
        <v/>
      </c>
      <c r="B420" s="48"/>
      <c r="C420" s="55" t="str">
        <f t="shared" si="1"/>
        <v/>
      </c>
      <c r="D420" s="55" t="str">
        <f t="shared" si="2"/>
        <v/>
      </c>
      <c r="E420" s="48"/>
      <c r="F420" s="48"/>
      <c r="G420" s="48"/>
      <c r="H420" s="56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7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  <c r="BW420" s="57"/>
      <c r="BX420" s="57"/>
      <c r="BY420" s="57"/>
      <c r="BZ420" s="57"/>
      <c r="CA420" s="57"/>
      <c r="CB420" s="57"/>
      <c r="CC420" s="57"/>
      <c r="CD420" s="57"/>
      <c r="CE420" s="57"/>
      <c r="CF420" s="57"/>
      <c r="CG420" s="57"/>
      <c r="CH420" s="57"/>
      <c r="CI420" s="57"/>
      <c r="CJ420" s="57"/>
      <c r="CK420" s="57"/>
      <c r="CL420" s="57"/>
      <c r="CM420" s="57"/>
      <c r="CN420" s="57"/>
      <c r="CO420" s="57"/>
      <c r="CP420" s="57"/>
      <c r="CQ420" s="57"/>
      <c r="CR420" s="57"/>
      <c r="CS420" s="57"/>
      <c r="CT420" s="57"/>
    </row>
    <row r="421" ht="15.0" customHeight="1">
      <c r="A421" s="51" t="str">
        <f t="shared" si="3"/>
        <v/>
      </c>
      <c r="B421" s="45"/>
      <c r="C421" s="39" t="str">
        <f t="shared" si="1"/>
        <v/>
      </c>
      <c r="D421" s="39" t="str">
        <f t="shared" si="2"/>
        <v/>
      </c>
      <c r="E421" s="45"/>
      <c r="F421" s="45"/>
      <c r="G421" s="45"/>
      <c r="H421" s="52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P421" s="53"/>
      <c r="BQ421" s="53"/>
      <c r="BR421" s="53"/>
      <c r="BS421" s="53"/>
      <c r="BT421" s="53"/>
      <c r="BU421" s="53"/>
      <c r="BV421" s="53"/>
      <c r="BW421" s="53"/>
      <c r="BX421" s="53"/>
      <c r="BY421" s="53"/>
      <c r="BZ421" s="53"/>
      <c r="CA421" s="53"/>
      <c r="CB421" s="53"/>
      <c r="CC421" s="53"/>
      <c r="CD421" s="53"/>
      <c r="CE421" s="53"/>
      <c r="CF421" s="53"/>
      <c r="CG421" s="53"/>
      <c r="CH421" s="53"/>
      <c r="CI421" s="53"/>
      <c r="CJ421" s="53"/>
      <c r="CK421" s="53"/>
      <c r="CL421" s="53"/>
      <c r="CM421" s="53"/>
      <c r="CN421" s="53"/>
      <c r="CO421" s="53"/>
      <c r="CP421" s="53"/>
      <c r="CQ421" s="53"/>
      <c r="CR421" s="53"/>
      <c r="CS421" s="53"/>
      <c r="CT421" s="53"/>
    </row>
    <row r="422" ht="15.0" customHeight="1">
      <c r="A422" s="54" t="str">
        <f t="shared" si="3"/>
        <v/>
      </c>
      <c r="B422" s="48"/>
      <c r="C422" s="55" t="str">
        <f t="shared" si="1"/>
        <v/>
      </c>
      <c r="D422" s="55" t="str">
        <f t="shared" si="2"/>
        <v/>
      </c>
      <c r="E422" s="48"/>
      <c r="F422" s="48"/>
      <c r="G422" s="48"/>
      <c r="H422" s="56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7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57"/>
      <c r="BS422" s="57"/>
      <c r="BT422" s="57"/>
      <c r="BU422" s="57"/>
      <c r="BV422" s="57"/>
      <c r="BW422" s="57"/>
      <c r="BX422" s="57"/>
      <c r="BY422" s="57"/>
      <c r="BZ422" s="57"/>
      <c r="CA422" s="57"/>
      <c r="CB422" s="57"/>
      <c r="CC422" s="57"/>
      <c r="CD422" s="57"/>
      <c r="CE422" s="57"/>
      <c r="CF422" s="57"/>
      <c r="CG422" s="57"/>
      <c r="CH422" s="57"/>
      <c r="CI422" s="57"/>
      <c r="CJ422" s="57"/>
      <c r="CK422" s="57"/>
      <c r="CL422" s="57"/>
      <c r="CM422" s="57"/>
      <c r="CN422" s="57"/>
      <c r="CO422" s="57"/>
      <c r="CP422" s="57"/>
      <c r="CQ422" s="57"/>
      <c r="CR422" s="57"/>
      <c r="CS422" s="57"/>
      <c r="CT422" s="57"/>
    </row>
    <row r="423" ht="15.0" customHeight="1">
      <c r="A423" s="51" t="str">
        <f t="shared" si="3"/>
        <v/>
      </c>
      <c r="B423" s="45"/>
      <c r="C423" s="39" t="str">
        <f t="shared" si="1"/>
        <v/>
      </c>
      <c r="D423" s="39" t="str">
        <f t="shared" si="2"/>
        <v/>
      </c>
      <c r="E423" s="45"/>
      <c r="F423" s="45"/>
      <c r="G423" s="45"/>
      <c r="H423" s="52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53"/>
      <c r="BP423" s="53"/>
      <c r="BQ423" s="53"/>
      <c r="BR423" s="53"/>
      <c r="BS423" s="53"/>
      <c r="BT423" s="53"/>
      <c r="BU423" s="53"/>
      <c r="BV423" s="53"/>
      <c r="BW423" s="53"/>
      <c r="BX423" s="53"/>
      <c r="BY423" s="53"/>
      <c r="BZ423" s="53"/>
      <c r="CA423" s="53"/>
      <c r="CB423" s="53"/>
      <c r="CC423" s="53"/>
      <c r="CD423" s="53"/>
      <c r="CE423" s="53"/>
      <c r="CF423" s="53"/>
      <c r="CG423" s="53"/>
      <c r="CH423" s="53"/>
      <c r="CI423" s="53"/>
      <c r="CJ423" s="53"/>
      <c r="CK423" s="53"/>
      <c r="CL423" s="53"/>
      <c r="CM423" s="53"/>
      <c r="CN423" s="53"/>
      <c r="CO423" s="53"/>
      <c r="CP423" s="53"/>
      <c r="CQ423" s="53"/>
      <c r="CR423" s="53"/>
      <c r="CS423" s="53"/>
      <c r="CT423" s="53"/>
    </row>
    <row r="424" ht="15.0" customHeight="1">
      <c r="A424" s="54" t="str">
        <f t="shared" si="3"/>
        <v/>
      </c>
      <c r="B424" s="48"/>
      <c r="C424" s="55" t="str">
        <f t="shared" si="1"/>
        <v/>
      </c>
      <c r="D424" s="55" t="str">
        <f t="shared" si="2"/>
        <v/>
      </c>
      <c r="E424" s="48"/>
      <c r="F424" s="48"/>
      <c r="G424" s="48"/>
      <c r="H424" s="56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57"/>
      <c r="BS424" s="57"/>
      <c r="BT424" s="57"/>
      <c r="BU424" s="57"/>
      <c r="BV424" s="57"/>
      <c r="BW424" s="57"/>
      <c r="BX424" s="57"/>
      <c r="BY424" s="57"/>
      <c r="BZ424" s="57"/>
      <c r="CA424" s="57"/>
      <c r="CB424" s="57"/>
      <c r="CC424" s="57"/>
      <c r="CD424" s="57"/>
      <c r="CE424" s="57"/>
      <c r="CF424" s="57"/>
      <c r="CG424" s="57"/>
      <c r="CH424" s="57"/>
      <c r="CI424" s="57"/>
      <c r="CJ424" s="57"/>
      <c r="CK424" s="57"/>
      <c r="CL424" s="57"/>
      <c r="CM424" s="57"/>
      <c r="CN424" s="57"/>
      <c r="CO424" s="57"/>
      <c r="CP424" s="57"/>
      <c r="CQ424" s="57"/>
      <c r="CR424" s="57"/>
      <c r="CS424" s="57"/>
      <c r="CT424" s="57"/>
    </row>
    <row r="425" ht="15.0" customHeight="1">
      <c r="A425" s="51" t="str">
        <f t="shared" si="3"/>
        <v/>
      </c>
      <c r="B425" s="45"/>
      <c r="C425" s="39" t="str">
        <f t="shared" si="1"/>
        <v/>
      </c>
      <c r="D425" s="39" t="str">
        <f t="shared" si="2"/>
        <v/>
      </c>
      <c r="E425" s="45"/>
      <c r="F425" s="45"/>
      <c r="G425" s="45"/>
      <c r="H425" s="52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3"/>
      <c r="BN425" s="53"/>
      <c r="BO425" s="53"/>
      <c r="BP425" s="53"/>
      <c r="BQ425" s="53"/>
      <c r="BR425" s="53"/>
      <c r="BS425" s="53"/>
      <c r="BT425" s="53"/>
      <c r="BU425" s="53"/>
      <c r="BV425" s="53"/>
      <c r="BW425" s="53"/>
      <c r="BX425" s="53"/>
      <c r="BY425" s="53"/>
      <c r="BZ425" s="53"/>
      <c r="CA425" s="53"/>
      <c r="CB425" s="53"/>
      <c r="CC425" s="53"/>
      <c r="CD425" s="53"/>
      <c r="CE425" s="53"/>
      <c r="CF425" s="53"/>
      <c r="CG425" s="53"/>
      <c r="CH425" s="53"/>
      <c r="CI425" s="53"/>
      <c r="CJ425" s="53"/>
      <c r="CK425" s="53"/>
      <c r="CL425" s="53"/>
      <c r="CM425" s="53"/>
      <c r="CN425" s="53"/>
      <c r="CO425" s="53"/>
      <c r="CP425" s="53"/>
      <c r="CQ425" s="53"/>
      <c r="CR425" s="53"/>
      <c r="CS425" s="53"/>
      <c r="CT425" s="53"/>
    </row>
    <row r="426" ht="15.0" customHeight="1">
      <c r="A426" s="54" t="str">
        <f t="shared" si="3"/>
        <v/>
      </c>
      <c r="B426" s="48"/>
      <c r="C426" s="55" t="str">
        <f t="shared" si="1"/>
        <v/>
      </c>
      <c r="D426" s="55" t="str">
        <f t="shared" si="2"/>
        <v/>
      </c>
      <c r="E426" s="48"/>
      <c r="F426" s="48"/>
      <c r="G426" s="48"/>
      <c r="H426" s="56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57"/>
      <c r="BS426" s="57"/>
      <c r="BT426" s="57"/>
      <c r="BU426" s="57"/>
      <c r="BV426" s="57"/>
      <c r="BW426" s="57"/>
      <c r="BX426" s="57"/>
      <c r="BY426" s="57"/>
      <c r="BZ426" s="57"/>
      <c r="CA426" s="57"/>
      <c r="CB426" s="57"/>
      <c r="CC426" s="57"/>
      <c r="CD426" s="57"/>
      <c r="CE426" s="57"/>
      <c r="CF426" s="57"/>
      <c r="CG426" s="57"/>
      <c r="CH426" s="57"/>
      <c r="CI426" s="57"/>
      <c r="CJ426" s="57"/>
      <c r="CK426" s="57"/>
      <c r="CL426" s="57"/>
      <c r="CM426" s="57"/>
      <c r="CN426" s="57"/>
      <c r="CO426" s="57"/>
      <c r="CP426" s="57"/>
      <c r="CQ426" s="57"/>
      <c r="CR426" s="57"/>
      <c r="CS426" s="57"/>
      <c r="CT426" s="57"/>
    </row>
    <row r="427" ht="15.0" customHeight="1">
      <c r="A427" s="51" t="str">
        <f t="shared" si="3"/>
        <v/>
      </c>
      <c r="B427" s="45"/>
      <c r="C427" s="39" t="str">
        <f t="shared" si="1"/>
        <v/>
      </c>
      <c r="D427" s="39" t="str">
        <f t="shared" si="2"/>
        <v/>
      </c>
      <c r="E427" s="45"/>
      <c r="F427" s="45"/>
      <c r="G427" s="45"/>
      <c r="H427" s="52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3"/>
      <c r="BN427" s="53"/>
      <c r="BO427" s="53"/>
      <c r="BP427" s="53"/>
      <c r="BQ427" s="53"/>
      <c r="BR427" s="53"/>
      <c r="BS427" s="53"/>
      <c r="BT427" s="53"/>
      <c r="BU427" s="53"/>
      <c r="BV427" s="53"/>
      <c r="BW427" s="53"/>
      <c r="BX427" s="53"/>
      <c r="BY427" s="53"/>
      <c r="BZ427" s="53"/>
      <c r="CA427" s="53"/>
      <c r="CB427" s="53"/>
      <c r="CC427" s="53"/>
      <c r="CD427" s="53"/>
      <c r="CE427" s="53"/>
      <c r="CF427" s="53"/>
      <c r="CG427" s="53"/>
      <c r="CH427" s="53"/>
      <c r="CI427" s="53"/>
      <c r="CJ427" s="53"/>
      <c r="CK427" s="53"/>
      <c r="CL427" s="53"/>
      <c r="CM427" s="53"/>
      <c r="CN427" s="53"/>
      <c r="CO427" s="53"/>
      <c r="CP427" s="53"/>
      <c r="CQ427" s="53"/>
      <c r="CR427" s="53"/>
      <c r="CS427" s="53"/>
      <c r="CT427" s="53"/>
    </row>
    <row r="428" ht="15.0" customHeight="1">
      <c r="A428" s="54" t="str">
        <f t="shared" si="3"/>
        <v/>
      </c>
      <c r="B428" s="48"/>
      <c r="C428" s="55" t="str">
        <f t="shared" si="1"/>
        <v/>
      </c>
      <c r="D428" s="55" t="str">
        <f t="shared" si="2"/>
        <v/>
      </c>
      <c r="E428" s="48"/>
      <c r="F428" s="48"/>
      <c r="G428" s="48"/>
      <c r="H428" s="56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7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57"/>
      <c r="BS428" s="57"/>
      <c r="BT428" s="57"/>
      <c r="BU428" s="57"/>
      <c r="BV428" s="57"/>
      <c r="BW428" s="57"/>
      <c r="BX428" s="57"/>
      <c r="BY428" s="57"/>
      <c r="BZ428" s="57"/>
      <c r="CA428" s="57"/>
      <c r="CB428" s="57"/>
      <c r="CC428" s="57"/>
      <c r="CD428" s="57"/>
      <c r="CE428" s="57"/>
      <c r="CF428" s="57"/>
      <c r="CG428" s="57"/>
      <c r="CH428" s="57"/>
      <c r="CI428" s="57"/>
      <c r="CJ428" s="57"/>
      <c r="CK428" s="57"/>
      <c r="CL428" s="57"/>
      <c r="CM428" s="57"/>
      <c r="CN428" s="57"/>
      <c r="CO428" s="57"/>
      <c r="CP428" s="57"/>
      <c r="CQ428" s="57"/>
      <c r="CR428" s="57"/>
      <c r="CS428" s="57"/>
      <c r="CT428" s="57"/>
    </row>
    <row r="429" ht="15.0" customHeight="1">
      <c r="A429" s="51" t="str">
        <f t="shared" si="3"/>
        <v/>
      </c>
      <c r="B429" s="45"/>
      <c r="C429" s="39" t="str">
        <f t="shared" si="1"/>
        <v/>
      </c>
      <c r="D429" s="39" t="str">
        <f t="shared" si="2"/>
        <v/>
      </c>
      <c r="E429" s="45"/>
      <c r="F429" s="45"/>
      <c r="G429" s="45"/>
      <c r="H429" s="52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3"/>
      <c r="BN429" s="53"/>
      <c r="BO429" s="53"/>
      <c r="BP429" s="53"/>
      <c r="BQ429" s="53"/>
      <c r="BR429" s="53"/>
      <c r="BS429" s="53"/>
      <c r="BT429" s="53"/>
      <c r="BU429" s="53"/>
      <c r="BV429" s="53"/>
      <c r="BW429" s="53"/>
      <c r="BX429" s="53"/>
      <c r="BY429" s="53"/>
      <c r="BZ429" s="53"/>
      <c r="CA429" s="53"/>
      <c r="CB429" s="53"/>
      <c r="CC429" s="53"/>
      <c r="CD429" s="53"/>
      <c r="CE429" s="53"/>
      <c r="CF429" s="53"/>
      <c r="CG429" s="53"/>
      <c r="CH429" s="53"/>
      <c r="CI429" s="53"/>
      <c r="CJ429" s="53"/>
      <c r="CK429" s="53"/>
      <c r="CL429" s="53"/>
      <c r="CM429" s="53"/>
      <c r="CN429" s="53"/>
      <c r="CO429" s="53"/>
      <c r="CP429" s="53"/>
      <c r="CQ429" s="53"/>
      <c r="CR429" s="53"/>
      <c r="CS429" s="53"/>
      <c r="CT429" s="53"/>
    </row>
    <row r="430" ht="15.0" customHeight="1">
      <c r="A430" s="54" t="str">
        <f t="shared" si="3"/>
        <v/>
      </c>
      <c r="B430" s="48"/>
      <c r="C430" s="55" t="str">
        <f t="shared" si="1"/>
        <v/>
      </c>
      <c r="D430" s="55" t="str">
        <f t="shared" si="2"/>
        <v/>
      </c>
      <c r="E430" s="48"/>
      <c r="F430" s="48"/>
      <c r="G430" s="48"/>
      <c r="H430" s="56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7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57"/>
      <c r="BS430" s="57"/>
      <c r="BT430" s="57"/>
      <c r="BU430" s="57"/>
      <c r="BV430" s="57"/>
      <c r="BW430" s="57"/>
      <c r="BX430" s="57"/>
      <c r="BY430" s="57"/>
      <c r="BZ430" s="57"/>
      <c r="CA430" s="57"/>
      <c r="CB430" s="57"/>
      <c r="CC430" s="57"/>
      <c r="CD430" s="57"/>
      <c r="CE430" s="57"/>
      <c r="CF430" s="57"/>
      <c r="CG430" s="57"/>
      <c r="CH430" s="57"/>
      <c r="CI430" s="57"/>
      <c r="CJ430" s="57"/>
      <c r="CK430" s="57"/>
      <c r="CL430" s="57"/>
      <c r="CM430" s="57"/>
      <c r="CN430" s="57"/>
      <c r="CO430" s="57"/>
      <c r="CP430" s="57"/>
      <c r="CQ430" s="57"/>
      <c r="CR430" s="57"/>
      <c r="CS430" s="57"/>
      <c r="CT430" s="57"/>
    </row>
    <row r="431" ht="15.0" customHeight="1">
      <c r="A431" s="51" t="str">
        <f t="shared" si="3"/>
        <v/>
      </c>
      <c r="B431" s="45"/>
      <c r="C431" s="39" t="str">
        <f t="shared" si="1"/>
        <v/>
      </c>
      <c r="D431" s="39" t="str">
        <f t="shared" si="2"/>
        <v/>
      </c>
      <c r="E431" s="45"/>
      <c r="F431" s="45"/>
      <c r="G431" s="45"/>
      <c r="H431" s="52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  <c r="CD431" s="53"/>
      <c r="CE431" s="53"/>
      <c r="CF431" s="53"/>
      <c r="CG431" s="53"/>
      <c r="CH431" s="53"/>
      <c r="CI431" s="53"/>
      <c r="CJ431" s="53"/>
      <c r="CK431" s="53"/>
      <c r="CL431" s="53"/>
      <c r="CM431" s="53"/>
      <c r="CN431" s="53"/>
      <c r="CO431" s="53"/>
      <c r="CP431" s="53"/>
      <c r="CQ431" s="53"/>
      <c r="CR431" s="53"/>
      <c r="CS431" s="53"/>
      <c r="CT431" s="53"/>
    </row>
    <row r="432" ht="15.0" customHeight="1">
      <c r="A432" s="54" t="str">
        <f t="shared" si="3"/>
        <v/>
      </c>
      <c r="B432" s="48"/>
      <c r="C432" s="55" t="str">
        <f t="shared" si="1"/>
        <v/>
      </c>
      <c r="D432" s="55" t="str">
        <f t="shared" si="2"/>
        <v/>
      </c>
      <c r="E432" s="48"/>
      <c r="F432" s="48"/>
      <c r="G432" s="48"/>
      <c r="H432" s="56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  <c r="BV432" s="57"/>
      <c r="BW432" s="57"/>
      <c r="BX432" s="57"/>
      <c r="BY432" s="57"/>
      <c r="BZ432" s="57"/>
      <c r="CA432" s="57"/>
      <c r="CB432" s="57"/>
      <c r="CC432" s="57"/>
      <c r="CD432" s="57"/>
      <c r="CE432" s="57"/>
      <c r="CF432" s="57"/>
      <c r="CG432" s="57"/>
      <c r="CH432" s="57"/>
      <c r="CI432" s="57"/>
      <c r="CJ432" s="57"/>
      <c r="CK432" s="57"/>
      <c r="CL432" s="57"/>
      <c r="CM432" s="57"/>
      <c r="CN432" s="57"/>
      <c r="CO432" s="57"/>
      <c r="CP432" s="57"/>
      <c r="CQ432" s="57"/>
      <c r="CR432" s="57"/>
      <c r="CS432" s="57"/>
      <c r="CT432" s="57"/>
    </row>
    <row r="433" ht="15.0" customHeight="1">
      <c r="A433" s="51" t="str">
        <f t="shared" si="3"/>
        <v/>
      </c>
      <c r="B433" s="45"/>
      <c r="C433" s="39" t="str">
        <f t="shared" si="1"/>
        <v/>
      </c>
      <c r="D433" s="39" t="str">
        <f t="shared" si="2"/>
        <v/>
      </c>
      <c r="E433" s="45"/>
      <c r="F433" s="45"/>
      <c r="G433" s="45"/>
      <c r="H433" s="52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3"/>
      <c r="BN433" s="53"/>
      <c r="BO433" s="53"/>
      <c r="BP433" s="53"/>
      <c r="BQ433" s="53"/>
      <c r="BR433" s="53"/>
      <c r="BS433" s="53"/>
      <c r="BT433" s="53"/>
      <c r="BU433" s="53"/>
      <c r="BV433" s="53"/>
      <c r="BW433" s="53"/>
      <c r="BX433" s="53"/>
      <c r="BY433" s="53"/>
      <c r="BZ433" s="53"/>
      <c r="CA433" s="53"/>
      <c r="CB433" s="53"/>
      <c r="CC433" s="53"/>
      <c r="CD433" s="53"/>
      <c r="CE433" s="53"/>
      <c r="CF433" s="53"/>
      <c r="CG433" s="53"/>
      <c r="CH433" s="53"/>
      <c r="CI433" s="53"/>
      <c r="CJ433" s="53"/>
      <c r="CK433" s="53"/>
      <c r="CL433" s="53"/>
      <c r="CM433" s="53"/>
      <c r="CN433" s="53"/>
      <c r="CO433" s="53"/>
      <c r="CP433" s="53"/>
      <c r="CQ433" s="53"/>
      <c r="CR433" s="53"/>
      <c r="CS433" s="53"/>
      <c r="CT433" s="53"/>
    </row>
    <row r="434" ht="15.0" customHeight="1">
      <c r="A434" s="54" t="str">
        <f t="shared" si="3"/>
        <v/>
      </c>
      <c r="B434" s="48"/>
      <c r="C434" s="55" t="str">
        <f t="shared" si="1"/>
        <v/>
      </c>
      <c r="D434" s="55" t="str">
        <f t="shared" si="2"/>
        <v/>
      </c>
      <c r="E434" s="48"/>
      <c r="F434" s="48"/>
      <c r="G434" s="48"/>
      <c r="H434" s="56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7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57"/>
      <c r="BS434" s="57"/>
      <c r="BT434" s="57"/>
      <c r="BU434" s="57"/>
      <c r="BV434" s="57"/>
      <c r="BW434" s="57"/>
      <c r="BX434" s="57"/>
      <c r="BY434" s="57"/>
      <c r="BZ434" s="57"/>
      <c r="CA434" s="57"/>
      <c r="CB434" s="57"/>
      <c r="CC434" s="57"/>
      <c r="CD434" s="57"/>
      <c r="CE434" s="57"/>
      <c r="CF434" s="57"/>
      <c r="CG434" s="57"/>
      <c r="CH434" s="57"/>
      <c r="CI434" s="57"/>
      <c r="CJ434" s="57"/>
      <c r="CK434" s="57"/>
      <c r="CL434" s="57"/>
      <c r="CM434" s="57"/>
      <c r="CN434" s="57"/>
      <c r="CO434" s="57"/>
      <c r="CP434" s="57"/>
      <c r="CQ434" s="57"/>
      <c r="CR434" s="57"/>
      <c r="CS434" s="57"/>
      <c r="CT434" s="57"/>
    </row>
    <row r="435" ht="15.0" customHeight="1">
      <c r="A435" s="51" t="str">
        <f t="shared" si="3"/>
        <v/>
      </c>
      <c r="B435" s="45"/>
      <c r="C435" s="39" t="str">
        <f t="shared" si="1"/>
        <v/>
      </c>
      <c r="D435" s="39" t="str">
        <f t="shared" si="2"/>
        <v/>
      </c>
      <c r="E435" s="45"/>
      <c r="F435" s="45"/>
      <c r="G435" s="45"/>
      <c r="H435" s="52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3"/>
      <c r="BN435" s="53"/>
      <c r="BO435" s="53"/>
      <c r="BP435" s="53"/>
      <c r="BQ435" s="53"/>
      <c r="BR435" s="53"/>
      <c r="BS435" s="53"/>
      <c r="BT435" s="53"/>
      <c r="BU435" s="53"/>
      <c r="BV435" s="53"/>
      <c r="BW435" s="53"/>
      <c r="BX435" s="53"/>
      <c r="BY435" s="53"/>
      <c r="BZ435" s="53"/>
      <c r="CA435" s="53"/>
      <c r="CB435" s="53"/>
      <c r="CC435" s="53"/>
      <c r="CD435" s="53"/>
      <c r="CE435" s="53"/>
      <c r="CF435" s="53"/>
      <c r="CG435" s="53"/>
      <c r="CH435" s="53"/>
      <c r="CI435" s="53"/>
      <c r="CJ435" s="53"/>
      <c r="CK435" s="53"/>
      <c r="CL435" s="53"/>
      <c r="CM435" s="53"/>
      <c r="CN435" s="53"/>
      <c r="CO435" s="53"/>
      <c r="CP435" s="53"/>
      <c r="CQ435" s="53"/>
      <c r="CR435" s="53"/>
      <c r="CS435" s="53"/>
      <c r="CT435" s="53"/>
    </row>
    <row r="436" ht="15.0" customHeight="1">
      <c r="A436" s="54" t="str">
        <f t="shared" si="3"/>
        <v/>
      </c>
      <c r="B436" s="48"/>
      <c r="C436" s="55" t="str">
        <f t="shared" si="1"/>
        <v/>
      </c>
      <c r="D436" s="55" t="str">
        <f t="shared" si="2"/>
        <v/>
      </c>
      <c r="E436" s="48"/>
      <c r="F436" s="48"/>
      <c r="G436" s="48"/>
      <c r="H436" s="56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7"/>
      <c r="BE436" s="57"/>
      <c r="BF436" s="57"/>
      <c r="BG436" s="57"/>
      <c r="BH436" s="57"/>
      <c r="BI436" s="57"/>
      <c r="BJ436" s="57"/>
      <c r="BK436" s="57"/>
      <c r="BL436" s="57"/>
      <c r="BM436" s="57"/>
      <c r="BN436" s="57"/>
      <c r="BO436" s="57"/>
      <c r="BP436" s="57"/>
      <c r="BQ436" s="57"/>
      <c r="BR436" s="57"/>
      <c r="BS436" s="57"/>
      <c r="BT436" s="57"/>
      <c r="BU436" s="57"/>
      <c r="BV436" s="57"/>
      <c r="BW436" s="57"/>
      <c r="BX436" s="57"/>
      <c r="BY436" s="57"/>
      <c r="BZ436" s="57"/>
      <c r="CA436" s="57"/>
      <c r="CB436" s="57"/>
      <c r="CC436" s="57"/>
      <c r="CD436" s="57"/>
      <c r="CE436" s="57"/>
      <c r="CF436" s="57"/>
      <c r="CG436" s="57"/>
      <c r="CH436" s="57"/>
      <c r="CI436" s="57"/>
      <c r="CJ436" s="57"/>
      <c r="CK436" s="57"/>
      <c r="CL436" s="57"/>
      <c r="CM436" s="57"/>
      <c r="CN436" s="57"/>
      <c r="CO436" s="57"/>
      <c r="CP436" s="57"/>
      <c r="CQ436" s="57"/>
      <c r="CR436" s="57"/>
      <c r="CS436" s="57"/>
      <c r="CT436" s="57"/>
    </row>
    <row r="437" ht="15.0" customHeight="1">
      <c r="A437" s="51" t="str">
        <f t="shared" si="3"/>
        <v/>
      </c>
      <c r="B437" s="45"/>
      <c r="C437" s="39" t="str">
        <f t="shared" si="1"/>
        <v/>
      </c>
      <c r="D437" s="39" t="str">
        <f t="shared" si="2"/>
        <v/>
      </c>
      <c r="E437" s="45"/>
      <c r="F437" s="45"/>
      <c r="G437" s="45"/>
      <c r="H437" s="52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3"/>
      <c r="BN437" s="53"/>
      <c r="BO437" s="53"/>
      <c r="BP437" s="53"/>
      <c r="BQ437" s="53"/>
      <c r="BR437" s="53"/>
      <c r="BS437" s="53"/>
      <c r="BT437" s="53"/>
      <c r="BU437" s="53"/>
      <c r="BV437" s="53"/>
      <c r="BW437" s="53"/>
      <c r="BX437" s="53"/>
      <c r="BY437" s="53"/>
      <c r="BZ437" s="53"/>
      <c r="CA437" s="53"/>
      <c r="CB437" s="53"/>
      <c r="CC437" s="53"/>
      <c r="CD437" s="53"/>
      <c r="CE437" s="53"/>
      <c r="CF437" s="53"/>
      <c r="CG437" s="53"/>
      <c r="CH437" s="53"/>
      <c r="CI437" s="53"/>
      <c r="CJ437" s="53"/>
      <c r="CK437" s="53"/>
      <c r="CL437" s="53"/>
      <c r="CM437" s="53"/>
      <c r="CN437" s="53"/>
      <c r="CO437" s="53"/>
      <c r="CP437" s="53"/>
      <c r="CQ437" s="53"/>
      <c r="CR437" s="53"/>
      <c r="CS437" s="53"/>
      <c r="CT437" s="53"/>
    </row>
    <row r="438" ht="15.0" customHeight="1">
      <c r="A438" s="54" t="str">
        <f t="shared" si="3"/>
        <v/>
      </c>
      <c r="B438" s="48"/>
      <c r="C438" s="55" t="str">
        <f t="shared" si="1"/>
        <v/>
      </c>
      <c r="D438" s="55" t="str">
        <f t="shared" si="2"/>
        <v/>
      </c>
      <c r="E438" s="48"/>
      <c r="F438" s="48"/>
      <c r="G438" s="48"/>
      <c r="H438" s="56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  <c r="BV438" s="57"/>
      <c r="BW438" s="57"/>
      <c r="BX438" s="57"/>
      <c r="BY438" s="57"/>
      <c r="BZ438" s="57"/>
      <c r="CA438" s="57"/>
      <c r="CB438" s="57"/>
      <c r="CC438" s="57"/>
      <c r="CD438" s="57"/>
      <c r="CE438" s="57"/>
      <c r="CF438" s="57"/>
      <c r="CG438" s="57"/>
      <c r="CH438" s="57"/>
      <c r="CI438" s="57"/>
      <c r="CJ438" s="57"/>
      <c r="CK438" s="57"/>
      <c r="CL438" s="57"/>
      <c r="CM438" s="57"/>
      <c r="CN438" s="57"/>
      <c r="CO438" s="57"/>
      <c r="CP438" s="57"/>
      <c r="CQ438" s="57"/>
      <c r="CR438" s="57"/>
      <c r="CS438" s="57"/>
      <c r="CT438" s="57"/>
    </row>
    <row r="439" ht="15.0" customHeight="1">
      <c r="A439" s="51" t="str">
        <f t="shared" si="3"/>
        <v/>
      </c>
      <c r="B439" s="45"/>
      <c r="C439" s="39" t="str">
        <f t="shared" si="1"/>
        <v/>
      </c>
      <c r="D439" s="39" t="str">
        <f t="shared" si="2"/>
        <v/>
      </c>
      <c r="E439" s="45"/>
      <c r="F439" s="45"/>
      <c r="G439" s="45"/>
      <c r="H439" s="52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/>
      <c r="BR439" s="53"/>
      <c r="BS439" s="53"/>
      <c r="BT439" s="53"/>
      <c r="BU439" s="53"/>
      <c r="BV439" s="53"/>
      <c r="BW439" s="53"/>
      <c r="BX439" s="53"/>
      <c r="BY439" s="53"/>
      <c r="BZ439" s="53"/>
      <c r="CA439" s="53"/>
      <c r="CB439" s="53"/>
      <c r="CC439" s="53"/>
      <c r="CD439" s="53"/>
      <c r="CE439" s="53"/>
      <c r="CF439" s="53"/>
      <c r="CG439" s="53"/>
      <c r="CH439" s="53"/>
      <c r="CI439" s="53"/>
      <c r="CJ439" s="53"/>
      <c r="CK439" s="53"/>
      <c r="CL439" s="53"/>
      <c r="CM439" s="53"/>
      <c r="CN439" s="53"/>
      <c r="CO439" s="53"/>
      <c r="CP439" s="53"/>
      <c r="CQ439" s="53"/>
      <c r="CR439" s="53"/>
      <c r="CS439" s="53"/>
      <c r="CT439" s="53"/>
    </row>
    <row r="440" ht="15.0" customHeight="1">
      <c r="A440" s="54" t="str">
        <f t="shared" si="3"/>
        <v/>
      </c>
      <c r="B440" s="48"/>
      <c r="C440" s="55" t="str">
        <f t="shared" si="1"/>
        <v/>
      </c>
      <c r="D440" s="55" t="str">
        <f t="shared" si="2"/>
        <v/>
      </c>
      <c r="E440" s="48"/>
      <c r="F440" s="48"/>
      <c r="G440" s="48"/>
      <c r="H440" s="56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  <c r="BV440" s="57"/>
      <c r="BW440" s="57"/>
      <c r="BX440" s="57"/>
      <c r="BY440" s="57"/>
      <c r="BZ440" s="57"/>
      <c r="CA440" s="57"/>
      <c r="CB440" s="57"/>
      <c r="CC440" s="57"/>
      <c r="CD440" s="57"/>
      <c r="CE440" s="57"/>
      <c r="CF440" s="57"/>
      <c r="CG440" s="57"/>
      <c r="CH440" s="57"/>
      <c r="CI440" s="57"/>
      <c r="CJ440" s="57"/>
      <c r="CK440" s="57"/>
      <c r="CL440" s="57"/>
      <c r="CM440" s="57"/>
      <c r="CN440" s="57"/>
      <c r="CO440" s="57"/>
      <c r="CP440" s="57"/>
      <c r="CQ440" s="57"/>
      <c r="CR440" s="57"/>
      <c r="CS440" s="57"/>
      <c r="CT440" s="57"/>
    </row>
    <row r="441" ht="15.0" customHeight="1">
      <c r="A441" s="51" t="str">
        <f t="shared" si="3"/>
        <v/>
      </c>
      <c r="B441" s="45"/>
      <c r="C441" s="39" t="str">
        <f t="shared" si="1"/>
        <v/>
      </c>
      <c r="D441" s="39" t="str">
        <f t="shared" si="2"/>
        <v/>
      </c>
      <c r="E441" s="45"/>
      <c r="F441" s="45"/>
      <c r="G441" s="45"/>
      <c r="H441" s="52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  <c r="CD441" s="53"/>
      <c r="CE441" s="53"/>
      <c r="CF441" s="53"/>
      <c r="CG441" s="53"/>
      <c r="CH441" s="53"/>
      <c r="CI441" s="53"/>
      <c r="CJ441" s="53"/>
      <c r="CK441" s="53"/>
      <c r="CL441" s="53"/>
      <c r="CM441" s="53"/>
      <c r="CN441" s="53"/>
      <c r="CO441" s="53"/>
      <c r="CP441" s="53"/>
      <c r="CQ441" s="53"/>
      <c r="CR441" s="53"/>
      <c r="CS441" s="53"/>
      <c r="CT441" s="53"/>
    </row>
    <row r="442" ht="15.0" customHeight="1">
      <c r="A442" s="54" t="str">
        <f t="shared" si="3"/>
        <v/>
      </c>
      <c r="B442" s="48"/>
      <c r="C442" s="55" t="str">
        <f t="shared" si="1"/>
        <v/>
      </c>
      <c r="D442" s="55" t="str">
        <f t="shared" si="2"/>
        <v/>
      </c>
      <c r="E442" s="48"/>
      <c r="F442" s="48"/>
      <c r="G442" s="48"/>
      <c r="H442" s="56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7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  <c r="BV442" s="57"/>
      <c r="BW442" s="57"/>
      <c r="BX442" s="57"/>
      <c r="BY442" s="57"/>
      <c r="BZ442" s="57"/>
      <c r="CA442" s="57"/>
      <c r="CB442" s="57"/>
      <c r="CC442" s="57"/>
      <c r="CD442" s="57"/>
      <c r="CE442" s="57"/>
      <c r="CF442" s="57"/>
      <c r="CG442" s="57"/>
      <c r="CH442" s="57"/>
      <c r="CI442" s="57"/>
      <c r="CJ442" s="57"/>
      <c r="CK442" s="57"/>
      <c r="CL442" s="57"/>
      <c r="CM442" s="57"/>
      <c r="CN442" s="57"/>
      <c r="CO442" s="57"/>
      <c r="CP442" s="57"/>
      <c r="CQ442" s="57"/>
      <c r="CR442" s="57"/>
      <c r="CS442" s="57"/>
      <c r="CT442" s="57"/>
    </row>
    <row r="443" ht="15.0" customHeight="1">
      <c r="A443" s="51" t="str">
        <f t="shared" si="3"/>
        <v/>
      </c>
      <c r="B443" s="45"/>
      <c r="C443" s="39" t="str">
        <f t="shared" si="1"/>
        <v/>
      </c>
      <c r="D443" s="39" t="str">
        <f t="shared" si="2"/>
        <v/>
      </c>
      <c r="E443" s="45"/>
      <c r="F443" s="45"/>
      <c r="G443" s="45"/>
      <c r="H443" s="52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/>
      <c r="BR443" s="53"/>
      <c r="BS443" s="53"/>
      <c r="BT443" s="53"/>
      <c r="BU443" s="53"/>
      <c r="BV443" s="53"/>
      <c r="BW443" s="53"/>
      <c r="BX443" s="53"/>
      <c r="BY443" s="53"/>
      <c r="BZ443" s="53"/>
      <c r="CA443" s="53"/>
      <c r="CB443" s="53"/>
      <c r="CC443" s="53"/>
      <c r="CD443" s="53"/>
      <c r="CE443" s="53"/>
      <c r="CF443" s="53"/>
      <c r="CG443" s="53"/>
      <c r="CH443" s="53"/>
      <c r="CI443" s="53"/>
      <c r="CJ443" s="53"/>
      <c r="CK443" s="53"/>
      <c r="CL443" s="53"/>
      <c r="CM443" s="53"/>
      <c r="CN443" s="53"/>
      <c r="CO443" s="53"/>
      <c r="CP443" s="53"/>
      <c r="CQ443" s="53"/>
      <c r="CR443" s="53"/>
      <c r="CS443" s="53"/>
      <c r="CT443" s="53"/>
    </row>
    <row r="444" ht="15.0" customHeight="1">
      <c r="A444" s="54" t="str">
        <f t="shared" si="3"/>
        <v/>
      </c>
      <c r="B444" s="48"/>
      <c r="C444" s="55" t="str">
        <f t="shared" si="1"/>
        <v/>
      </c>
      <c r="D444" s="55" t="str">
        <f t="shared" si="2"/>
        <v/>
      </c>
      <c r="E444" s="48"/>
      <c r="F444" s="48"/>
      <c r="G444" s="48"/>
      <c r="H444" s="56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7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  <c r="BV444" s="57"/>
      <c r="BW444" s="57"/>
      <c r="BX444" s="57"/>
      <c r="BY444" s="57"/>
      <c r="BZ444" s="57"/>
      <c r="CA444" s="57"/>
      <c r="CB444" s="57"/>
      <c r="CC444" s="57"/>
      <c r="CD444" s="57"/>
      <c r="CE444" s="57"/>
      <c r="CF444" s="57"/>
      <c r="CG444" s="57"/>
      <c r="CH444" s="57"/>
      <c r="CI444" s="57"/>
      <c r="CJ444" s="57"/>
      <c r="CK444" s="57"/>
      <c r="CL444" s="57"/>
      <c r="CM444" s="57"/>
      <c r="CN444" s="57"/>
      <c r="CO444" s="57"/>
      <c r="CP444" s="57"/>
      <c r="CQ444" s="57"/>
      <c r="CR444" s="57"/>
      <c r="CS444" s="57"/>
      <c r="CT444" s="57"/>
    </row>
    <row r="445" ht="15.0" customHeight="1">
      <c r="A445" s="51" t="str">
        <f t="shared" si="3"/>
        <v/>
      </c>
      <c r="B445" s="45"/>
      <c r="C445" s="39" t="str">
        <f t="shared" si="1"/>
        <v/>
      </c>
      <c r="D445" s="39" t="str">
        <f t="shared" si="2"/>
        <v/>
      </c>
      <c r="E445" s="45"/>
      <c r="F445" s="45"/>
      <c r="G445" s="45"/>
      <c r="H445" s="52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  <c r="CD445" s="53"/>
      <c r="CE445" s="53"/>
      <c r="CF445" s="53"/>
      <c r="CG445" s="53"/>
      <c r="CH445" s="53"/>
      <c r="CI445" s="53"/>
      <c r="CJ445" s="53"/>
      <c r="CK445" s="53"/>
      <c r="CL445" s="53"/>
      <c r="CM445" s="53"/>
      <c r="CN445" s="53"/>
      <c r="CO445" s="53"/>
      <c r="CP445" s="53"/>
      <c r="CQ445" s="53"/>
      <c r="CR445" s="53"/>
      <c r="CS445" s="53"/>
      <c r="CT445" s="53"/>
    </row>
    <row r="446" ht="15.0" customHeight="1">
      <c r="A446" s="54" t="str">
        <f t="shared" si="3"/>
        <v/>
      </c>
      <c r="B446" s="48"/>
      <c r="C446" s="55" t="str">
        <f t="shared" si="1"/>
        <v/>
      </c>
      <c r="D446" s="55" t="str">
        <f t="shared" si="2"/>
        <v/>
      </c>
      <c r="E446" s="48"/>
      <c r="F446" s="48"/>
      <c r="G446" s="48"/>
      <c r="H446" s="56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7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  <c r="BV446" s="57"/>
      <c r="BW446" s="57"/>
      <c r="BX446" s="57"/>
      <c r="BY446" s="57"/>
      <c r="BZ446" s="57"/>
      <c r="CA446" s="57"/>
      <c r="CB446" s="57"/>
      <c r="CC446" s="57"/>
      <c r="CD446" s="57"/>
      <c r="CE446" s="57"/>
      <c r="CF446" s="57"/>
      <c r="CG446" s="57"/>
      <c r="CH446" s="57"/>
      <c r="CI446" s="57"/>
      <c r="CJ446" s="57"/>
      <c r="CK446" s="57"/>
      <c r="CL446" s="57"/>
      <c r="CM446" s="57"/>
      <c r="CN446" s="57"/>
      <c r="CO446" s="57"/>
      <c r="CP446" s="57"/>
      <c r="CQ446" s="57"/>
      <c r="CR446" s="57"/>
      <c r="CS446" s="57"/>
      <c r="CT446" s="57"/>
    </row>
    <row r="447" ht="15.0" customHeight="1">
      <c r="A447" s="51" t="str">
        <f t="shared" si="3"/>
        <v/>
      </c>
      <c r="B447" s="45"/>
      <c r="C447" s="39" t="str">
        <f t="shared" si="1"/>
        <v/>
      </c>
      <c r="D447" s="39" t="str">
        <f t="shared" si="2"/>
        <v/>
      </c>
      <c r="E447" s="45"/>
      <c r="F447" s="45"/>
      <c r="G447" s="45"/>
      <c r="H447" s="52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  <c r="BV447" s="53"/>
      <c r="BW447" s="53"/>
      <c r="BX447" s="53"/>
      <c r="BY447" s="53"/>
      <c r="BZ447" s="53"/>
      <c r="CA447" s="53"/>
      <c r="CB447" s="53"/>
      <c r="CC447" s="53"/>
      <c r="CD447" s="53"/>
      <c r="CE447" s="53"/>
      <c r="CF447" s="53"/>
      <c r="CG447" s="53"/>
      <c r="CH447" s="53"/>
      <c r="CI447" s="53"/>
      <c r="CJ447" s="53"/>
      <c r="CK447" s="53"/>
      <c r="CL447" s="53"/>
      <c r="CM447" s="53"/>
      <c r="CN447" s="53"/>
      <c r="CO447" s="53"/>
      <c r="CP447" s="53"/>
      <c r="CQ447" s="53"/>
      <c r="CR447" s="53"/>
      <c r="CS447" s="53"/>
      <c r="CT447" s="53"/>
    </row>
    <row r="448" ht="15.0" customHeight="1">
      <c r="A448" s="54" t="str">
        <f t="shared" si="3"/>
        <v/>
      </c>
      <c r="B448" s="48"/>
      <c r="C448" s="55" t="str">
        <f t="shared" si="1"/>
        <v/>
      </c>
      <c r="D448" s="55" t="str">
        <f t="shared" si="2"/>
        <v/>
      </c>
      <c r="E448" s="48"/>
      <c r="F448" s="48"/>
      <c r="G448" s="48"/>
      <c r="H448" s="56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  <c r="BD448" s="57"/>
      <c r="BE448" s="57"/>
      <c r="BF448" s="57"/>
      <c r="BG448" s="57"/>
      <c r="BH448" s="57"/>
      <c r="BI448" s="57"/>
      <c r="BJ448" s="57"/>
      <c r="BK448" s="57"/>
      <c r="BL448" s="57"/>
      <c r="BM448" s="57"/>
      <c r="BN448" s="57"/>
      <c r="BO448" s="57"/>
      <c r="BP448" s="57"/>
      <c r="BQ448" s="57"/>
      <c r="BR448" s="57"/>
      <c r="BS448" s="57"/>
      <c r="BT448" s="57"/>
      <c r="BU448" s="57"/>
      <c r="BV448" s="57"/>
      <c r="BW448" s="57"/>
      <c r="BX448" s="57"/>
      <c r="BY448" s="57"/>
      <c r="BZ448" s="57"/>
      <c r="CA448" s="57"/>
      <c r="CB448" s="57"/>
      <c r="CC448" s="57"/>
      <c r="CD448" s="57"/>
      <c r="CE448" s="57"/>
      <c r="CF448" s="57"/>
      <c r="CG448" s="57"/>
      <c r="CH448" s="57"/>
      <c r="CI448" s="57"/>
      <c r="CJ448" s="57"/>
      <c r="CK448" s="57"/>
      <c r="CL448" s="57"/>
      <c r="CM448" s="57"/>
      <c r="CN448" s="57"/>
      <c r="CO448" s="57"/>
      <c r="CP448" s="57"/>
      <c r="CQ448" s="57"/>
      <c r="CR448" s="57"/>
      <c r="CS448" s="57"/>
      <c r="CT448" s="57"/>
    </row>
    <row r="449" ht="15.0" customHeight="1">
      <c r="A449" s="51" t="str">
        <f t="shared" si="3"/>
        <v/>
      </c>
      <c r="B449" s="45"/>
      <c r="C449" s="39" t="str">
        <f t="shared" si="1"/>
        <v/>
      </c>
      <c r="D449" s="39" t="str">
        <f t="shared" si="2"/>
        <v/>
      </c>
      <c r="E449" s="45"/>
      <c r="F449" s="45"/>
      <c r="G449" s="45"/>
      <c r="H449" s="52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  <c r="BV449" s="53"/>
      <c r="BW449" s="53"/>
      <c r="BX449" s="53"/>
      <c r="BY449" s="53"/>
      <c r="BZ449" s="53"/>
      <c r="CA449" s="53"/>
      <c r="CB449" s="53"/>
      <c r="CC449" s="53"/>
      <c r="CD449" s="53"/>
      <c r="CE449" s="53"/>
      <c r="CF449" s="53"/>
      <c r="CG449" s="53"/>
      <c r="CH449" s="53"/>
      <c r="CI449" s="53"/>
      <c r="CJ449" s="53"/>
      <c r="CK449" s="53"/>
      <c r="CL449" s="53"/>
      <c r="CM449" s="53"/>
      <c r="CN449" s="53"/>
      <c r="CO449" s="53"/>
      <c r="CP449" s="53"/>
      <c r="CQ449" s="53"/>
      <c r="CR449" s="53"/>
      <c r="CS449" s="53"/>
      <c r="CT449" s="53"/>
    </row>
    <row r="450" ht="15.0" customHeight="1">
      <c r="A450" s="54" t="str">
        <f t="shared" si="3"/>
        <v/>
      </c>
      <c r="B450" s="48"/>
      <c r="C450" s="55" t="str">
        <f t="shared" si="1"/>
        <v/>
      </c>
      <c r="D450" s="55" t="str">
        <f t="shared" si="2"/>
        <v/>
      </c>
      <c r="E450" s="48"/>
      <c r="F450" s="48"/>
      <c r="G450" s="48"/>
      <c r="H450" s="56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7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  <c r="BV450" s="57"/>
      <c r="BW450" s="57"/>
      <c r="BX450" s="57"/>
      <c r="BY450" s="57"/>
      <c r="BZ450" s="57"/>
      <c r="CA450" s="57"/>
      <c r="CB450" s="57"/>
      <c r="CC450" s="57"/>
      <c r="CD450" s="57"/>
      <c r="CE450" s="57"/>
      <c r="CF450" s="57"/>
      <c r="CG450" s="57"/>
      <c r="CH450" s="57"/>
      <c r="CI450" s="57"/>
      <c r="CJ450" s="57"/>
      <c r="CK450" s="57"/>
      <c r="CL450" s="57"/>
      <c r="CM450" s="57"/>
      <c r="CN450" s="57"/>
      <c r="CO450" s="57"/>
      <c r="CP450" s="57"/>
      <c r="CQ450" s="57"/>
      <c r="CR450" s="57"/>
      <c r="CS450" s="57"/>
      <c r="CT450" s="57"/>
    </row>
    <row r="451" ht="15.0" customHeight="1">
      <c r="A451" s="51" t="str">
        <f t="shared" si="3"/>
        <v/>
      </c>
      <c r="B451" s="45"/>
      <c r="C451" s="39" t="str">
        <f t="shared" si="1"/>
        <v/>
      </c>
      <c r="D451" s="39" t="str">
        <f t="shared" si="2"/>
        <v/>
      </c>
      <c r="E451" s="45"/>
      <c r="F451" s="45"/>
      <c r="G451" s="45"/>
      <c r="H451" s="52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  <c r="BV451" s="53"/>
      <c r="BW451" s="53"/>
      <c r="BX451" s="53"/>
      <c r="BY451" s="53"/>
      <c r="BZ451" s="53"/>
      <c r="CA451" s="53"/>
      <c r="CB451" s="53"/>
      <c r="CC451" s="53"/>
      <c r="CD451" s="53"/>
      <c r="CE451" s="53"/>
      <c r="CF451" s="53"/>
      <c r="CG451" s="53"/>
      <c r="CH451" s="53"/>
      <c r="CI451" s="53"/>
      <c r="CJ451" s="53"/>
      <c r="CK451" s="53"/>
      <c r="CL451" s="53"/>
      <c r="CM451" s="53"/>
      <c r="CN451" s="53"/>
      <c r="CO451" s="53"/>
      <c r="CP451" s="53"/>
      <c r="CQ451" s="53"/>
      <c r="CR451" s="53"/>
      <c r="CS451" s="53"/>
      <c r="CT451" s="53"/>
    </row>
    <row r="452" ht="15.0" customHeight="1">
      <c r="A452" s="54" t="str">
        <f t="shared" si="3"/>
        <v/>
      </c>
      <c r="B452" s="48"/>
      <c r="C452" s="55" t="str">
        <f t="shared" si="1"/>
        <v/>
      </c>
      <c r="D452" s="55" t="str">
        <f t="shared" si="2"/>
        <v/>
      </c>
      <c r="E452" s="48"/>
      <c r="F452" s="48"/>
      <c r="G452" s="48"/>
      <c r="H452" s="56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7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  <c r="BV452" s="57"/>
      <c r="BW452" s="57"/>
      <c r="BX452" s="57"/>
      <c r="BY452" s="57"/>
      <c r="BZ452" s="57"/>
      <c r="CA452" s="57"/>
      <c r="CB452" s="57"/>
      <c r="CC452" s="57"/>
      <c r="CD452" s="57"/>
      <c r="CE452" s="57"/>
      <c r="CF452" s="57"/>
      <c r="CG452" s="57"/>
      <c r="CH452" s="57"/>
      <c r="CI452" s="57"/>
      <c r="CJ452" s="57"/>
      <c r="CK452" s="57"/>
      <c r="CL452" s="57"/>
      <c r="CM452" s="57"/>
      <c r="CN452" s="57"/>
      <c r="CO452" s="57"/>
      <c r="CP452" s="57"/>
      <c r="CQ452" s="57"/>
      <c r="CR452" s="57"/>
      <c r="CS452" s="57"/>
      <c r="CT452" s="57"/>
    </row>
    <row r="453" ht="15.0" customHeight="1">
      <c r="A453" s="51" t="str">
        <f t="shared" si="3"/>
        <v/>
      </c>
      <c r="B453" s="45"/>
      <c r="C453" s="39" t="str">
        <f t="shared" si="1"/>
        <v/>
      </c>
      <c r="D453" s="39" t="str">
        <f t="shared" si="2"/>
        <v/>
      </c>
      <c r="E453" s="45"/>
      <c r="F453" s="45"/>
      <c r="G453" s="45"/>
      <c r="H453" s="52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3"/>
      <c r="BN453" s="53"/>
      <c r="BO453" s="53"/>
      <c r="BP453" s="53"/>
      <c r="BQ453" s="53"/>
      <c r="BR453" s="53"/>
      <c r="BS453" s="53"/>
      <c r="BT453" s="53"/>
      <c r="BU453" s="53"/>
      <c r="BV453" s="53"/>
      <c r="BW453" s="53"/>
      <c r="BX453" s="53"/>
      <c r="BY453" s="53"/>
      <c r="BZ453" s="53"/>
      <c r="CA453" s="53"/>
      <c r="CB453" s="53"/>
      <c r="CC453" s="53"/>
      <c r="CD453" s="53"/>
      <c r="CE453" s="53"/>
      <c r="CF453" s="53"/>
      <c r="CG453" s="53"/>
      <c r="CH453" s="53"/>
      <c r="CI453" s="53"/>
      <c r="CJ453" s="53"/>
      <c r="CK453" s="53"/>
      <c r="CL453" s="53"/>
      <c r="CM453" s="53"/>
      <c r="CN453" s="53"/>
      <c r="CO453" s="53"/>
      <c r="CP453" s="53"/>
      <c r="CQ453" s="53"/>
      <c r="CR453" s="53"/>
      <c r="CS453" s="53"/>
      <c r="CT453" s="53"/>
    </row>
    <row r="454" ht="15.0" customHeight="1">
      <c r="A454" s="54" t="str">
        <f t="shared" si="3"/>
        <v/>
      </c>
      <c r="B454" s="48"/>
      <c r="C454" s="55" t="str">
        <f t="shared" si="1"/>
        <v/>
      </c>
      <c r="D454" s="55" t="str">
        <f t="shared" si="2"/>
        <v/>
      </c>
      <c r="E454" s="48"/>
      <c r="F454" s="48"/>
      <c r="G454" s="48"/>
      <c r="H454" s="56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7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  <c r="BV454" s="57"/>
      <c r="BW454" s="57"/>
      <c r="BX454" s="57"/>
      <c r="BY454" s="57"/>
      <c r="BZ454" s="57"/>
      <c r="CA454" s="57"/>
      <c r="CB454" s="57"/>
      <c r="CC454" s="57"/>
      <c r="CD454" s="57"/>
      <c r="CE454" s="57"/>
      <c r="CF454" s="57"/>
      <c r="CG454" s="57"/>
      <c r="CH454" s="57"/>
      <c r="CI454" s="57"/>
      <c r="CJ454" s="57"/>
      <c r="CK454" s="57"/>
      <c r="CL454" s="57"/>
      <c r="CM454" s="57"/>
      <c r="CN454" s="57"/>
      <c r="CO454" s="57"/>
      <c r="CP454" s="57"/>
      <c r="CQ454" s="57"/>
      <c r="CR454" s="57"/>
      <c r="CS454" s="57"/>
      <c r="CT454" s="57"/>
    </row>
    <row r="455" ht="15.0" customHeight="1">
      <c r="A455" s="51" t="str">
        <f t="shared" si="3"/>
        <v/>
      </c>
      <c r="B455" s="45"/>
      <c r="C455" s="39" t="str">
        <f t="shared" si="1"/>
        <v/>
      </c>
      <c r="D455" s="39" t="str">
        <f t="shared" si="2"/>
        <v/>
      </c>
      <c r="E455" s="45"/>
      <c r="F455" s="45"/>
      <c r="G455" s="45"/>
      <c r="H455" s="52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  <c r="BV455" s="53"/>
      <c r="BW455" s="53"/>
      <c r="BX455" s="53"/>
      <c r="BY455" s="53"/>
      <c r="BZ455" s="53"/>
      <c r="CA455" s="53"/>
      <c r="CB455" s="53"/>
      <c r="CC455" s="53"/>
      <c r="CD455" s="53"/>
      <c r="CE455" s="53"/>
      <c r="CF455" s="53"/>
      <c r="CG455" s="53"/>
      <c r="CH455" s="53"/>
      <c r="CI455" s="53"/>
      <c r="CJ455" s="53"/>
      <c r="CK455" s="53"/>
      <c r="CL455" s="53"/>
      <c r="CM455" s="53"/>
      <c r="CN455" s="53"/>
      <c r="CO455" s="53"/>
      <c r="CP455" s="53"/>
      <c r="CQ455" s="53"/>
      <c r="CR455" s="53"/>
      <c r="CS455" s="53"/>
      <c r="CT455" s="53"/>
    </row>
    <row r="456" ht="15.0" customHeight="1">
      <c r="A456" s="54" t="str">
        <f t="shared" si="3"/>
        <v/>
      </c>
      <c r="B456" s="48"/>
      <c r="C456" s="55" t="str">
        <f t="shared" si="1"/>
        <v/>
      </c>
      <c r="D456" s="55" t="str">
        <f t="shared" si="2"/>
        <v/>
      </c>
      <c r="E456" s="48"/>
      <c r="F456" s="48"/>
      <c r="G456" s="48"/>
      <c r="H456" s="56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/>
      <c r="BE456" s="57"/>
      <c r="BF456" s="57"/>
      <c r="BG456" s="57"/>
      <c r="BH456" s="57"/>
      <c r="BI456" s="57"/>
      <c r="BJ456" s="57"/>
      <c r="BK456" s="57"/>
      <c r="BL456" s="57"/>
      <c r="BM456" s="57"/>
      <c r="BN456" s="57"/>
      <c r="BO456" s="57"/>
      <c r="BP456" s="57"/>
      <c r="BQ456" s="57"/>
      <c r="BR456" s="57"/>
      <c r="BS456" s="57"/>
      <c r="BT456" s="57"/>
      <c r="BU456" s="57"/>
      <c r="BV456" s="57"/>
      <c r="BW456" s="57"/>
      <c r="BX456" s="57"/>
      <c r="BY456" s="57"/>
      <c r="BZ456" s="57"/>
      <c r="CA456" s="57"/>
      <c r="CB456" s="57"/>
      <c r="CC456" s="57"/>
      <c r="CD456" s="57"/>
      <c r="CE456" s="57"/>
      <c r="CF456" s="57"/>
      <c r="CG456" s="57"/>
      <c r="CH456" s="57"/>
      <c r="CI456" s="57"/>
      <c r="CJ456" s="57"/>
      <c r="CK456" s="57"/>
      <c r="CL456" s="57"/>
      <c r="CM456" s="57"/>
      <c r="CN456" s="57"/>
      <c r="CO456" s="57"/>
      <c r="CP456" s="57"/>
      <c r="CQ456" s="57"/>
      <c r="CR456" s="57"/>
      <c r="CS456" s="57"/>
      <c r="CT456" s="57"/>
    </row>
    <row r="457" ht="15.0" customHeight="1">
      <c r="A457" s="51" t="str">
        <f t="shared" si="3"/>
        <v/>
      </c>
      <c r="B457" s="45"/>
      <c r="C457" s="39" t="str">
        <f t="shared" si="1"/>
        <v/>
      </c>
      <c r="D457" s="39" t="str">
        <f t="shared" si="2"/>
        <v/>
      </c>
      <c r="E457" s="45"/>
      <c r="F457" s="45"/>
      <c r="G457" s="45"/>
      <c r="H457" s="52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  <c r="BP457" s="53"/>
      <c r="BQ457" s="53"/>
      <c r="BR457" s="53"/>
      <c r="BS457" s="53"/>
      <c r="BT457" s="53"/>
      <c r="BU457" s="53"/>
      <c r="BV457" s="53"/>
      <c r="BW457" s="53"/>
      <c r="BX457" s="53"/>
      <c r="BY457" s="53"/>
      <c r="BZ457" s="53"/>
      <c r="CA457" s="53"/>
      <c r="CB457" s="53"/>
      <c r="CC457" s="53"/>
      <c r="CD457" s="53"/>
      <c r="CE457" s="53"/>
      <c r="CF457" s="53"/>
      <c r="CG457" s="53"/>
      <c r="CH457" s="53"/>
      <c r="CI457" s="53"/>
      <c r="CJ457" s="53"/>
      <c r="CK457" s="53"/>
      <c r="CL457" s="53"/>
      <c r="CM457" s="53"/>
      <c r="CN457" s="53"/>
      <c r="CO457" s="53"/>
      <c r="CP457" s="53"/>
      <c r="CQ457" s="53"/>
      <c r="CR457" s="53"/>
      <c r="CS457" s="53"/>
      <c r="CT457" s="53"/>
    </row>
    <row r="458" ht="15.0" customHeight="1">
      <c r="A458" s="54" t="str">
        <f t="shared" si="3"/>
        <v/>
      </c>
      <c r="B458" s="48"/>
      <c r="C458" s="55" t="str">
        <f t="shared" si="1"/>
        <v/>
      </c>
      <c r="D458" s="55" t="str">
        <f t="shared" si="2"/>
        <v/>
      </c>
      <c r="E458" s="48"/>
      <c r="F458" s="48"/>
      <c r="G458" s="48"/>
      <c r="H458" s="56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7"/>
      <c r="BE458" s="57"/>
      <c r="BF458" s="57"/>
      <c r="BG458" s="57"/>
      <c r="BH458" s="57"/>
      <c r="BI458" s="57"/>
      <c r="BJ458" s="57"/>
      <c r="BK458" s="57"/>
      <c r="BL458" s="57"/>
      <c r="BM458" s="57"/>
      <c r="BN458" s="57"/>
      <c r="BO458" s="57"/>
      <c r="BP458" s="57"/>
      <c r="BQ458" s="57"/>
      <c r="BR458" s="57"/>
      <c r="BS458" s="57"/>
      <c r="BT458" s="57"/>
      <c r="BU458" s="57"/>
      <c r="BV458" s="57"/>
      <c r="BW458" s="57"/>
      <c r="BX458" s="57"/>
      <c r="BY458" s="57"/>
      <c r="BZ458" s="57"/>
      <c r="CA458" s="57"/>
      <c r="CB458" s="57"/>
      <c r="CC458" s="57"/>
      <c r="CD458" s="57"/>
      <c r="CE458" s="57"/>
      <c r="CF458" s="57"/>
      <c r="CG458" s="57"/>
      <c r="CH458" s="57"/>
      <c r="CI458" s="57"/>
      <c r="CJ458" s="57"/>
      <c r="CK458" s="57"/>
      <c r="CL458" s="57"/>
      <c r="CM458" s="57"/>
      <c r="CN458" s="57"/>
      <c r="CO458" s="57"/>
      <c r="CP458" s="57"/>
      <c r="CQ458" s="57"/>
      <c r="CR458" s="57"/>
      <c r="CS458" s="57"/>
      <c r="CT458" s="57"/>
    </row>
    <row r="459" ht="15.0" customHeight="1">
      <c r="A459" s="51" t="str">
        <f t="shared" si="3"/>
        <v/>
      </c>
      <c r="B459" s="45"/>
      <c r="C459" s="39" t="str">
        <f t="shared" si="1"/>
        <v/>
      </c>
      <c r="D459" s="39" t="str">
        <f t="shared" si="2"/>
        <v/>
      </c>
      <c r="E459" s="45"/>
      <c r="F459" s="45"/>
      <c r="G459" s="45"/>
      <c r="H459" s="52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3"/>
      <c r="BN459" s="53"/>
      <c r="BO459" s="53"/>
      <c r="BP459" s="53"/>
      <c r="BQ459" s="53"/>
      <c r="BR459" s="53"/>
      <c r="BS459" s="53"/>
      <c r="BT459" s="53"/>
      <c r="BU459" s="53"/>
      <c r="BV459" s="53"/>
      <c r="BW459" s="53"/>
      <c r="BX459" s="53"/>
      <c r="BY459" s="53"/>
      <c r="BZ459" s="53"/>
      <c r="CA459" s="53"/>
      <c r="CB459" s="53"/>
      <c r="CC459" s="53"/>
      <c r="CD459" s="53"/>
      <c r="CE459" s="53"/>
      <c r="CF459" s="53"/>
      <c r="CG459" s="53"/>
      <c r="CH459" s="53"/>
      <c r="CI459" s="53"/>
      <c r="CJ459" s="53"/>
      <c r="CK459" s="53"/>
      <c r="CL459" s="53"/>
      <c r="CM459" s="53"/>
      <c r="CN459" s="53"/>
      <c r="CO459" s="53"/>
      <c r="CP459" s="53"/>
      <c r="CQ459" s="53"/>
      <c r="CR459" s="53"/>
      <c r="CS459" s="53"/>
      <c r="CT459" s="53"/>
    </row>
    <row r="460" ht="15.0" customHeight="1">
      <c r="A460" s="54" t="str">
        <f t="shared" si="3"/>
        <v/>
      </c>
      <c r="B460" s="48"/>
      <c r="C460" s="55" t="str">
        <f t="shared" si="1"/>
        <v/>
      </c>
      <c r="D460" s="55" t="str">
        <f t="shared" si="2"/>
        <v/>
      </c>
      <c r="E460" s="48"/>
      <c r="F460" s="48"/>
      <c r="G460" s="48"/>
      <c r="H460" s="56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7"/>
      <c r="BE460" s="57"/>
      <c r="BF460" s="57"/>
      <c r="BG460" s="57"/>
      <c r="BH460" s="57"/>
      <c r="BI460" s="57"/>
      <c r="BJ460" s="57"/>
      <c r="BK460" s="57"/>
      <c r="BL460" s="57"/>
      <c r="BM460" s="57"/>
      <c r="BN460" s="57"/>
      <c r="BO460" s="57"/>
      <c r="BP460" s="57"/>
      <c r="BQ460" s="57"/>
      <c r="BR460" s="57"/>
      <c r="BS460" s="57"/>
      <c r="BT460" s="57"/>
      <c r="BU460" s="57"/>
      <c r="BV460" s="57"/>
      <c r="BW460" s="57"/>
      <c r="BX460" s="57"/>
      <c r="BY460" s="57"/>
      <c r="BZ460" s="57"/>
      <c r="CA460" s="57"/>
      <c r="CB460" s="57"/>
      <c r="CC460" s="57"/>
      <c r="CD460" s="57"/>
      <c r="CE460" s="57"/>
      <c r="CF460" s="57"/>
      <c r="CG460" s="57"/>
      <c r="CH460" s="57"/>
      <c r="CI460" s="57"/>
      <c r="CJ460" s="57"/>
      <c r="CK460" s="57"/>
      <c r="CL460" s="57"/>
      <c r="CM460" s="57"/>
      <c r="CN460" s="57"/>
      <c r="CO460" s="57"/>
      <c r="CP460" s="57"/>
      <c r="CQ460" s="57"/>
      <c r="CR460" s="57"/>
      <c r="CS460" s="57"/>
      <c r="CT460" s="57"/>
    </row>
    <row r="461" ht="15.0" customHeight="1">
      <c r="A461" s="51" t="str">
        <f t="shared" si="3"/>
        <v/>
      </c>
      <c r="B461" s="45"/>
      <c r="C461" s="39" t="str">
        <f t="shared" si="1"/>
        <v/>
      </c>
      <c r="D461" s="39" t="str">
        <f t="shared" si="2"/>
        <v/>
      </c>
      <c r="E461" s="45"/>
      <c r="F461" s="45"/>
      <c r="G461" s="45"/>
      <c r="H461" s="52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3"/>
      <c r="BN461" s="53"/>
      <c r="BO461" s="53"/>
      <c r="BP461" s="53"/>
      <c r="BQ461" s="53"/>
      <c r="BR461" s="53"/>
      <c r="BS461" s="53"/>
      <c r="BT461" s="53"/>
      <c r="BU461" s="53"/>
      <c r="BV461" s="53"/>
      <c r="BW461" s="53"/>
      <c r="BX461" s="53"/>
      <c r="BY461" s="53"/>
      <c r="BZ461" s="53"/>
      <c r="CA461" s="53"/>
      <c r="CB461" s="53"/>
      <c r="CC461" s="53"/>
      <c r="CD461" s="53"/>
      <c r="CE461" s="53"/>
      <c r="CF461" s="53"/>
      <c r="CG461" s="53"/>
      <c r="CH461" s="53"/>
      <c r="CI461" s="53"/>
      <c r="CJ461" s="53"/>
      <c r="CK461" s="53"/>
      <c r="CL461" s="53"/>
      <c r="CM461" s="53"/>
      <c r="CN461" s="53"/>
      <c r="CO461" s="53"/>
      <c r="CP461" s="53"/>
      <c r="CQ461" s="53"/>
      <c r="CR461" s="53"/>
      <c r="CS461" s="53"/>
      <c r="CT461" s="53"/>
    </row>
    <row r="462" ht="15.0" customHeight="1">
      <c r="A462" s="54" t="str">
        <f t="shared" si="3"/>
        <v/>
      </c>
      <c r="B462" s="48"/>
      <c r="C462" s="55" t="str">
        <f t="shared" si="1"/>
        <v/>
      </c>
      <c r="D462" s="55" t="str">
        <f t="shared" si="2"/>
        <v/>
      </c>
      <c r="E462" s="48"/>
      <c r="F462" s="48"/>
      <c r="G462" s="48"/>
      <c r="H462" s="56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  <c r="BD462" s="57"/>
      <c r="BE462" s="57"/>
      <c r="BF462" s="57"/>
      <c r="BG462" s="57"/>
      <c r="BH462" s="57"/>
      <c r="BI462" s="57"/>
      <c r="BJ462" s="57"/>
      <c r="BK462" s="57"/>
      <c r="BL462" s="57"/>
      <c r="BM462" s="57"/>
      <c r="BN462" s="57"/>
      <c r="BO462" s="57"/>
      <c r="BP462" s="57"/>
      <c r="BQ462" s="57"/>
      <c r="BR462" s="57"/>
      <c r="BS462" s="57"/>
      <c r="BT462" s="57"/>
      <c r="BU462" s="57"/>
      <c r="BV462" s="57"/>
      <c r="BW462" s="57"/>
      <c r="BX462" s="57"/>
      <c r="BY462" s="57"/>
      <c r="BZ462" s="57"/>
      <c r="CA462" s="57"/>
      <c r="CB462" s="57"/>
      <c r="CC462" s="57"/>
      <c r="CD462" s="57"/>
      <c r="CE462" s="57"/>
      <c r="CF462" s="57"/>
      <c r="CG462" s="57"/>
      <c r="CH462" s="57"/>
      <c r="CI462" s="57"/>
      <c r="CJ462" s="57"/>
      <c r="CK462" s="57"/>
      <c r="CL462" s="57"/>
      <c r="CM462" s="57"/>
      <c r="CN462" s="57"/>
      <c r="CO462" s="57"/>
      <c r="CP462" s="57"/>
      <c r="CQ462" s="57"/>
      <c r="CR462" s="57"/>
      <c r="CS462" s="57"/>
      <c r="CT462" s="57"/>
    </row>
    <row r="463" ht="15.0" customHeight="1">
      <c r="A463" s="51" t="str">
        <f t="shared" si="3"/>
        <v/>
      </c>
      <c r="B463" s="45"/>
      <c r="C463" s="39" t="str">
        <f t="shared" si="1"/>
        <v/>
      </c>
      <c r="D463" s="39" t="str">
        <f t="shared" si="2"/>
        <v/>
      </c>
      <c r="E463" s="45"/>
      <c r="F463" s="45"/>
      <c r="G463" s="45"/>
      <c r="H463" s="52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3"/>
      <c r="BN463" s="53"/>
      <c r="BO463" s="53"/>
      <c r="BP463" s="53"/>
      <c r="BQ463" s="53"/>
      <c r="BR463" s="53"/>
      <c r="BS463" s="53"/>
      <c r="BT463" s="53"/>
      <c r="BU463" s="53"/>
      <c r="BV463" s="53"/>
      <c r="BW463" s="53"/>
      <c r="BX463" s="53"/>
      <c r="BY463" s="53"/>
      <c r="BZ463" s="53"/>
      <c r="CA463" s="53"/>
      <c r="CB463" s="53"/>
      <c r="CC463" s="53"/>
      <c r="CD463" s="53"/>
      <c r="CE463" s="53"/>
      <c r="CF463" s="53"/>
      <c r="CG463" s="53"/>
      <c r="CH463" s="53"/>
      <c r="CI463" s="53"/>
      <c r="CJ463" s="53"/>
      <c r="CK463" s="53"/>
      <c r="CL463" s="53"/>
      <c r="CM463" s="53"/>
      <c r="CN463" s="53"/>
      <c r="CO463" s="53"/>
      <c r="CP463" s="53"/>
      <c r="CQ463" s="53"/>
      <c r="CR463" s="53"/>
      <c r="CS463" s="53"/>
      <c r="CT463" s="53"/>
    </row>
    <row r="464" ht="15.0" customHeight="1">
      <c r="A464" s="54" t="str">
        <f t="shared" si="3"/>
        <v/>
      </c>
      <c r="B464" s="48"/>
      <c r="C464" s="55" t="str">
        <f t="shared" si="1"/>
        <v/>
      </c>
      <c r="D464" s="55" t="str">
        <f t="shared" si="2"/>
        <v/>
      </c>
      <c r="E464" s="48"/>
      <c r="F464" s="48"/>
      <c r="G464" s="48"/>
      <c r="H464" s="56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7"/>
      <c r="BE464" s="57"/>
      <c r="BF464" s="57"/>
      <c r="BG464" s="57"/>
      <c r="BH464" s="57"/>
      <c r="BI464" s="57"/>
      <c r="BJ464" s="57"/>
      <c r="BK464" s="57"/>
      <c r="BL464" s="57"/>
      <c r="BM464" s="57"/>
      <c r="BN464" s="57"/>
      <c r="BO464" s="57"/>
      <c r="BP464" s="57"/>
      <c r="BQ464" s="57"/>
      <c r="BR464" s="57"/>
      <c r="BS464" s="57"/>
      <c r="BT464" s="57"/>
      <c r="BU464" s="57"/>
      <c r="BV464" s="57"/>
      <c r="BW464" s="57"/>
      <c r="BX464" s="57"/>
      <c r="BY464" s="57"/>
      <c r="BZ464" s="57"/>
      <c r="CA464" s="57"/>
      <c r="CB464" s="57"/>
      <c r="CC464" s="57"/>
      <c r="CD464" s="57"/>
      <c r="CE464" s="57"/>
      <c r="CF464" s="57"/>
      <c r="CG464" s="57"/>
      <c r="CH464" s="57"/>
      <c r="CI464" s="57"/>
      <c r="CJ464" s="57"/>
      <c r="CK464" s="57"/>
      <c r="CL464" s="57"/>
      <c r="CM464" s="57"/>
      <c r="CN464" s="57"/>
      <c r="CO464" s="57"/>
      <c r="CP464" s="57"/>
      <c r="CQ464" s="57"/>
      <c r="CR464" s="57"/>
      <c r="CS464" s="57"/>
      <c r="CT464" s="57"/>
    </row>
    <row r="465" ht="15.0" customHeight="1">
      <c r="A465" s="51" t="str">
        <f t="shared" si="3"/>
        <v/>
      </c>
      <c r="B465" s="45"/>
      <c r="C465" s="39" t="str">
        <f t="shared" si="1"/>
        <v/>
      </c>
      <c r="D465" s="39" t="str">
        <f t="shared" si="2"/>
        <v/>
      </c>
      <c r="E465" s="45"/>
      <c r="F465" s="45"/>
      <c r="G465" s="45"/>
      <c r="H465" s="52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3"/>
      <c r="BN465" s="53"/>
      <c r="BO465" s="53"/>
      <c r="BP465" s="53"/>
      <c r="BQ465" s="53"/>
      <c r="BR465" s="53"/>
      <c r="BS465" s="53"/>
      <c r="BT465" s="53"/>
      <c r="BU465" s="53"/>
      <c r="BV465" s="53"/>
      <c r="BW465" s="53"/>
      <c r="BX465" s="53"/>
      <c r="BY465" s="53"/>
      <c r="BZ465" s="53"/>
      <c r="CA465" s="53"/>
      <c r="CB465" s="53"/>
      <c r="CC465" s="53"/>
      <c r="CD465" s="53"/>
      <c r="CE465" s="53"/>
      <c r="CF465" s="53"/>
      <c r="CG465" s="53"/>
      <c r="CH465" s="53"/>
      <c r="CI465" s="53"/>
      <c r="CJ465" s="53"/>
      <c r="CK465" s="53"/>
      <c r="CL465" s="53"/>
      <c r="CM465" s="53"/>
      <c r="CN465" s="53"/>
      <c r="CO465" s="53"/>
      <c r="CP465" s="53"/>
      <c r="CQ465" s="53"/>
      <c r="CR465" s="53"/>
      <c r="CS465" s="53"/>
      <c r="CT465" s="53"/>
    </row>
    <row r="466" ht="15.0" customHeight="1">
      <c r="A466" s="54" t="str">
        <f t="shared" si="3"/>
        <v/>
      </c>
      <c r="B466" s="48"/>
      <c r="C466" s="55" t="str">
        <f t="shared" si="1"/>
        <v/>
      </c>
      <c r="D466" s="55" t="str">
        <f t="shared" si="2"/>
        <v/>
      </c>
      <c r="E466" s="48"/>
      <c r="F466" s="48"/>
      <c r="G466" s="48"/>
      <c r="H466" s="56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/>
      <c r="BE466" s="57"/>
      <c r="BF466" s="57"/>
      <c r="BG466" s="57"/>
      <c r="BH466" s="57"/>
      <c r="BI466" s="57"/>
      <c r="BJ466" s="57"/>
      <c r="BK466" s="57"/>
      <c r="BL466" s="57"/>
      <c r="BM466" s="57"/>
      <c r="BN466" s="57"/>
      <c r="BO466" s="57"/>
      <c r="BP466" s="57"/>
      <c r="BQ466" s="57"/>
      <c r="BR466" s="57"/>
      <c r="BS466" s="57"/>
      <c r="BT466" s="57"/>
      <c r="BU466" s="57"/>
      <c r="BV466" s="57"/>
      <c r="BW466" s="57"/>
      <c r="BX466" s="57"/>
      <c r="BY466" s="57"/>
      <c r="BZ466" s="57"/>
      <c r="CA466" s="57"/>
      <c r="CB466" s="57"/>
      <c r="CC466" s="57"/>
      <c r="CD466" s="57"/>
      <c r="CE466" s="57"/>
      <c r="CF466" s="57"/>
      <c r="CG466" s="57"/>
      <c r="CH466" s="57"/>
      <c r="CI466" s="57"/>
      <c r="CJ466" s="57"/>
      <c r="CK466" s="57"/>
      <c r="CL466" s="57"/>
      <c r="CM466" s="57"/>
      <c r="CN466" s="57"/>
      <c r="CO466" s="57"/>
      <c r="CP466" s="57"/>
      <c r="CQ466" s="57"/>
      <c r="CR466" s="57"/>
      <c r="CS466" s="57"/>
      <c r="CT466" s="57"/>
    </row>
    <row r="467" ht="15.0" customHeight="1">
      <c r="A467" s="51" t="str">
        <f t="shared" si="3"/>
        <v/>
      </c>
      <c r="B467" s="45"/>
      <c r="C467" s="39" t="str">
        <f t="shared" si="1"/>
        <v/>
      </c>
      <c r="D467" s="39" t="str">
        <f t="shared" si="2"/>
        <v/>
      </c>
      <c r="E467" s="45"/>
      <c r="F467" s="45"/>
      <c r="G467" s="45"/>
      <c r="H467" s="52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3"/>
      <c r="BN467" s="53"/>
      <c r="BO467" s="53"/>
      <c r="BP467" s="53"/>
      <c r="BQ467" s="53"/>
      <c r="BR467" s="53"/>
      <c r="BS467" s="53"/>
      <c r="BT467" s="53"/>
      <c r="BU467" s="53"/>
      <c r="BV467" s="53"/>
      <c r="BW467" s="53"/>
      <c r="BX467" s="53"/>
      <c r="BY467" s="53"/>
      <c r="BZ467" s="53"/>
      <c r="CA467" s="53"/>
      <c r="CB467" s="53"/>
      <c r="CC467" s="53"/>
      <c r="CD467" s="53"/>
      <c r="CE467" s="53"/>
      <c r="CF467" s="53"/>
      <c r="CG467" s="53"/>
      <c r="CH467" s="53"/>
      <c r="CI467" s="53"/>
      <c r="CJ467" s="53"/>
      <c r="CK467" s="53"/>
      <c r="CL467" s="53"/>
      <c r="CM467" s="53"/>
      <c r="CN467" s="53"/>
      <c r="CO467" s="53"/>
      <c r="CP467" s="53"/>
      <c r="CQ467" s="53"/>
      <c r="CR467" s="53"/>
      <c r="CS467" s="53"/>
      <c r="CT467" s="53"/>
    </row>
    <row r="468" ht="15.0" customHeight="1">
      <c r="A468" s="54" t="str">
        <f t="shared" si="3"/>
        <v/>
      </c>
      <c r="B468" s="48"/>
      <c r="C468" s="55" t="str">
        <f t="shared" si="1"/>
        <v/>
      </c>
      <c r="D468" s="55" t="str">
        <f t="shared" si="2"/>
        <v/>
      </c>
      <c r="E468" s="48"/>
      <c r="F468" s="48"/>
      <c r="G468" s="48"/>
      <c r="H468" s="56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  <c r="BD468" s="57"/>
      <c r="BE468" s="57"/>
      <c r="BF468" s="57"/>
      <c r="BG468" s="57"/>
      <c r="BH468" s="57"/>
      <c r="BI468" s="57"/>
      <c r="BJ468" s="57"/>
      <c r="BK468" s="57"/>
      <c r="BL468" s="57"/>
      <c r="BM468" s="57"/>
      <c r="BN468" s="57"/>
      <c r="BO468" s="57"/>
      <c r="BP468" s="57"/>
      <c r="BQ468" s="57"/>
      <c r="BR468" s="57"/>
      <c r="BS468" s="57"/>
      <c r="BT468" s="57"/>
      <c r="BU468" s="57"/>
      <c r="BV468" s="57"/>
      <c r="BW468" s="57"/>
      <c r="BX468" s="57"/>
      <c r="BY468" s="57"/>
      <c r="BZ468" s="57"/>
      <c r="CA468" s="57"/>
      <c r="CB468" s="57"/>
      <c r="CC468" s="57"/>
      <c r="CD468" s="57"/>
      <c r="CE468" s="57"/>
      <c r="CF468" s="57"/>
      <c r="CG468" s="57"/>
      <c r="CH468" s="57"/>
      <c r="CI468" s="57"/>
      <c r="CJ468" s="57"/>
      <c r="CK468" s="57"/>
      <c r="CL468" s="57"/>
      <c r="CM468" s="57"/>
      <c r="CN468" s="57"/>
      <c r="CO468" s="57"/>
      <c r="CP468" s="57"/>
      <c r="CQ468" s="57"/>
      <c r="CR468" s="57"/>
      <c r="CS468" s="57"/>
      <c r="CT468" s="57"/>
    </row>
    <row r="469" ht="15.0" customHeight="1">
      <c r="A469" s="51" t="str">
        <f t="shared" si="3"/>
        <v/>
      </c>
      <c r="B469" s="45"/>
      <c r="C469" s="39" t="str">
        <f t="shared" si="1"/>
        <v/>
      </c>
      <c r="D469" s="39" t="str">
        <f t="shared" si="2"/>
        <v/>
      </c>
      <c r="E469" s="45"/>
      <c r="F469" s="45"/>
      <c r="G469" s="45"/>
      <c r="H469" s="52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  <c r="CD469" s="53"/>
      <c r="CE469" s="53"/>
      <c r="CF469" s="53"/>
      <c r="CG469" s="53"/>
      <c r="CH469" s="53"/>
      <c r="CI469" s="53"/>
      <c r="CJ469" s="53"/>
      <c r="CK469" s="53"/>
      <c r="CL469" s="53"/>
      <c r="CM469" s="53"/>
      <c r="CN469" s="53"/>
      <c r="CO469" s="53"/>
      <c r="CP469" s="53"/>
      <c r="CQ469" s="53"/>
      <c r="CR469" s="53"/>
      <c r="CS469" s="53"/>
      <c r="CT469" s="53"/>
    </row>
    <row r="470" ht="15.0" customHeight="1">
      <c r="A470" s="54" t="str">
        <f t="shared" si="3"/>
        <v/>
      </c>
      <c r="B470" s="48"/>
      <c r="C470" s="55" t="str">
        <f t="shared" si="1"/>
        <v/>
      </c>
      <c r="D470" s="55" t="str">
        <f t="shared" si="2"/>
        <v/>
      </c>
      <c r="E470" s="48"/>
      <c r="F470" s="48"/>
      <c r="G470" s="48"/>
      <c r="H470" s="56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57"/>
      <c r="BI470" s="57"/>
      <c r="BJ470" s="57"/>
      <c r="BK470" s="57"/>
      <c r="BL470" s="57"/>
      <c r="BM470" s="57"/>
      <c r="BN470" s="57"/>
      <c r="BO470" s="57"/>
      <c r="BP470" s="57"/>
      <c r="BQ470" s="57"/>
      <c r="BR470" s="57"/>
      <c r="BS470" s="57"/>
      <c r="BT470" s="57"/>
      <c r="BU470" s="57"/>
      <c r="BV470" s="57"/>
      <c r="BW470" s="57"/>
      <c r="BX470" s="57"/>
      <c r="BY470" s="57"/>
      <c r="BZ470" s="57"/>
      <c r="CA470" s="57"/>
      <c r="CB470" s="57"/>
      <c r="CC470" s="57"/>
      <c r="CD470" s="57"/>
      <c r="CE470" s="57"/>
      <c r="CF470" s="57"/>
      <c r="CG470" s="57"/>
      <c r="CH470" s="57"/>
      <c r="CI470" s="57"/>
      <c r="CJ470" s="57"/>
      <c r="CK470" s="57"/>
      <c r="CL470" s="57"/>
      <c r="CM470" s="57"/>
      <c r="CN470" s="57"/>
      <c r="CO470" s="57"/>
      <c r="CP470" s="57"/>
      <c r="CQ470" s="57"/>
      <c r="CR470" s="57"/>
      <c r="CS470" s="57"/>
      <c r="CT470" s="57"/>
    </row>
    <row r="471" ht="15.0" customHeight="1">
      <c r="A471" s="51" t="str">
        <f t="shared" si="3"/>
        <v/>
      </c>
      <c r="B471" s="45"/>
      <c r="C471" s="39" t="str">
        <f t="shared" si="1"/>
        <v/>
      </c>
      <c r="D471" s="39" t="str">
        <f t="shared" si="2"/>
        <v/>
      </c>
      <c r="E471" s="45"/>
      <c r="F471" s="45"/>
      <c r="G471" s="45"/>
      <c r="H471" s="52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3"/>
      <c r="BN471" s="53"/>
      <c r="BO471" s="53"/>
      <c r="BP471" s="53"/>
      <c r="BQ471" s="53"/>
      <c r="BR471" s="53"/>
      <c r="BS471" s="53"/>
      <c r="BT471" s="53"/>
      <c r="BU471" s="53"/>
      <c r="BV471" s="53"/>
      <c r="BW471" s="53"/>
      <c r="BX471" s="53"/>
      <c r="BY471" s="53"/>
      <c r="BZ471" s="53"/>
      <c r="CA471" s="53"/>
      <c r="CB471" s="53"/>
      <c r="CC471" s="53"/>
      <c r="CD471" s="53"/>
      <c r="CE471" s="53"/>
      <c r="CF471" s="53"/>
      <c r="CG471" s="53"/>
      <c r="CH471" s="53"/>
      <c r="CI471" s="53"/>
      <c r="CJ471" s="53"/>
      <c r="CK471" s="53"/>
      <c r="CL471" s="53"/>
      <c r="CM471" s="53"/>
      <c r="CN471" s="53"/>
      <c r="CO471" s="53"/>
      <c r="CP471" s="53"/>
      <c r="CQ471" s="53"/>
      <c r="CR471" s="53"/>
      <c r="CS471" s="53"/>
      <c r="CT471" s="53"/>
    </row>
    <row r="472" ht="15.0" customHeight="1">
      <c r="A472" s="54" t="str">
        <f t="shared" si="3"/>
        <v/>
      </c>
      <c r="B472" s="48"/>
      <c r="C472" s="55" t="str">
        <f t="shared" si="1"/>
        <v/>
      </c>
      <c r="D472" s="55" t="str">
        <f t="shared" si="2"/>
        <v/>
      </c>
      <c r="E472" s="48"/>
      <c r="F472" s="48"/>
      <c r="G472" s="48"/>
      <c r="H472" s="56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57"/>
      <c r="BI472" s="57"/>
      <c r="BJ472" s="57"/>
      <c r="BK472" s="57"/>
      <c r="BL472" s="57"/>
      <c r="BM472" s="57"/>
      <c r="BN472" s="57"/>
      <c r="BO472" s="57"/>
      <c r="BP472" s="57"/>
      <c r="BQ472" s="57"/>
      <c r="BR472" s="57"/>
      <c r="BS472" s="57"/>
      <c r="BT472" s="57"/>
      <c r="BU472" s="57"/>
      <c r="BV472" s="57"/>
      <c r="BW472" s="57"/>
      <c r="BX472" s="57"/>
      <c r="BY472" s="57"/>
      <c r="BZ472" s="57"/>
      <c r="CA472" s="57"/>
      <c r="CB472" s="57"/>
      <c r="CC472" s="57"/>
      <c r="CD472" s="57"/>
      <c r="CE472" s="57"/>
      <c r="CF472" s="57"/>
      <c r="CG472" s="57"/>
      <c r="CH472" s="57"/>
      <c r="CI472" s="57"/>
      <c r="CJ472" s="57"/>
      <c r="CK472" s="57"/>
      <c r="CL472" s="57"/>
      <c r="CM472" s="57"/>
      <c r="CN472" s="57"/>
      <c r="CO472" s="57"/>
      <c r="CP472" s="57"/>
      <c r="CQ472" s="57"/>
      <c r="CR472" s="57"/>
      <c r="CS472" s="57"/>
      <c r="CT472" s="57"/>
    </row>
    <row r="473" ht="15.0" customHeight="1">
      <c r="A473" s="51" t="str">
        <f t="shared" si="3"/>
        <v/>
      </c>
      <c r="B473" s="45"/>
      <c r="C473" s="39" t="str">
        <f t="shared" si="1"/>
        <v/>
      </c>
      <c r="D473" s="39" t="str">
        <f t="shared" si="2"/>
        <v/>
      </c>
      <c r="E473" s="45"/>
      <c r="F473" s="45"/>
      <c r="G473" s="45"/>
      <c r="H473" s="52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3"/>
      <c r="BN473" s="53"/>
      <c r="BO473" s="53"/>
      <c r="BP473" s="53"/>
      <c r="BQ473" s="53"/>
      <c r="BR473" s="53"/>
      <c r="BS473" s="53"/>
      <c r="BT473" s="53"/>
      <c r="BU473" s="53"/>
      <c r="BV473" s="53"/>
      <c r="BW473" s="53"/>
      <c r="BX473" s="53"/>
      <c r="BY473" s="53"/>
      <c r="BZ473" s="53"/>
      <c r="CA473" s="53"/>
      <c r="CB473" s="53"/>
      <c r="CC473" s="53"/>
      <c r="CD473" s="53"/>
      <c r="CE473" s="53"/>
      <c r="CF473" s="53"/>
      <c r="CG473" s="53"/>
      <c r="CH473" s="53"/>
      <c r="CI473" s="53"/>
      <c r="CJ473" s="53"/>
      <c r="CK473" s="53"/>
      <c r="CL473" s="53"/>
      <c r="CM473" s="53"/>
      <c r="CN473" s="53"/>
      <c r="CO473" s="53"/>
      <c r="CP473" s="53"/>
      <c r="CQ473" s="53"/>
      <c r="CR473" s="53"/>
      <c r="CS473" s="53"/>
      <c r="CT473" s="53"/>
    </row>
    <row r="474" ht="15.0" customHeight="1">
      <c r="A474" s="54" t="str">
        <f t="shared" si="3"/>
        <v/>
      </c>
      <c r="B474" s="48"/>
      <c r="C474" s="55" t="str">
        <f t="shared" si="1"/>
        <v/>
      </c>
      <c r="D474" s="55" t="str">
        <f t="shared" si="2"/>
        <v/>
      </c>
      <c r="E474" s="48"/>
      <c r="F474" s="48"/>
      <c r="G474" s="48"/>
      <c r="H474" s="56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/>
      <c r="BE474" s="57"/>
      <c r="BF474" s="57"/>
      <c r="BG474" s="57"/>
      <c r="BH474" s="57"/>
      <c r="BI474" s="57"/>
      <c r="BJ474" s="57"/>
      <c r="BK474" s="57"/>
      <c r="BL474" s="57"/>
      <c r="BM474" s="57"/>
      <c r="BN474" s="57"/>
      <c r="BO474" s="57"/>
      <c r="BP474" s="57"/>
      <c r="BQ474" s="57"/>
      <c r="BR474" s="57"/>
      <c r="BS474" s="57"/>
      <c r="BT474" s="57"/>
      <c r="BU474" s="57"/>
      <c r="BV474" s="57"/>
      <c r="BW474" s="57"/>
      <c r="BX474" s="57"/>
      <c r="BY474" s="57"/>
      <c r="BZ474" s="57"/>
      <c r="CA474" s="57"/>
      <c r="CB474" s="57"/>
      <c r="CC474" s="57"/>
      <c r="CD474" s="57"/>
      <c r="CE474" s="57"/>
      <c r="CF474" s="57"/>
      <c r="CG474" s="57"/>
      <c r="CH474" s="57"/>
      <c r="CI474" s="57"/>
      <c r="CJ474" s="57"/>
      <c r="CK474" s="57"/>
      <c r="CL474" s="57"/>
      <c r="CM474" s="57"/>
      <c r="CN474" s="57"/>
      <c r="CO474" s="57"/>
      <c r="CP474" s="57"/>
      <c r="CQ474" s="57"/>
      <c r="CR474" s="57"/>
      <c r="CS474" s="57"/>
      <c r="CT474" s="57"/>
    </row>
    <row r="475" ht="15.0" customHeight="1">
      <c r="A475" s="51" t="str">
        <f t="shared" si="3"/>
        <v/>
      </c>
      <c r="B475" s="45"/>
      <c r="C475" s="39" t="str">
        <f t="shared" si="1"/>
        <v/>
      </c>
      <c r="D475" s="39" t="str">
        <f t="shared" si="2"/>
        <v/>
      </c>
      <c r="E475" s="45"/>
      <c r="F475" s="45"/>
      <c r="G475" s="45"/>
      <c r="H475" s="52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3"/>
      <c r="BN475" s="53"/>
      <c r="BO475" s="53"/>
      <c r="BP475" s="53"/>
      <c r="BQ475" s="53"/>
      <c r="BR475" s="53"/>
      <c r="BS475" s="53"/>
      <c r="BT475" s="53"/>
      <c r="BU475" s="53"/>
      <c r="BV475" s="53"/>
      <c r="BW475" s="53"/>
      <c r="BX475" s="53"/>
      <c r="BY475" s="53"/>
      <c r="BZ475" s="53"/>
      <c r="CA475" s="53"/>
      <c r="CB475" s="53"/>
      <c r="CC475" s="53"/>
      <c r="CD475" s="53"/>
      <c r="CE475" s="53"/>
      <c r="CF475" s="53"/>
      <c r="CG475" s="53"/>
      <c r="CH475" s="53"/>
      <c r="CI475" s="53"/>
      <c r="CJ475" s="53"/>
      <c r="CK475" s="53"/>
      <c r="CL475" s="53"/>
      <c r="CM475" s="53"/>
      <c r="CN475" s="53"/>
      <c r="CO475" s="53"/>
      <c r="CP475" s="53"/>
      <c r="CQ475" s="53"/>
      <c r="CR475" s="53"/>
      <c r="CS475" s="53"/>
      <c r="CT475" s="53"/>
    </row>
    <row r="476" ht="15.0" customHeight="1">
      <c r="A476" s="54" t="str">
        <f t="shared" si="3"/>
        <v/>
      </c>
      <c r="B476" s="48"/>
      <c r="C476" s="55" t="str">
        <f t="shared" si="1"/>
        <v/>
      </c>
      <c r="D476" s="55" t="str">
        <f t="shared" si="2"/>
        <v/>
      </c>
      <c r="E476" s="48"/>
      <c r="F476" s="48"/>
      <c r="G476" s="48"/>
      <c r="H476" s="56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/>
      <c r="BE476" s="57"/>
      <c r="BF476" s="57"/>
      <c r="BG476" s="57"/>
      <c r="BH476" s="57"/>
      <c r="BI476" s="57"/>
      <c r="BJ476" s="57"/>
      <c r="BK476" s="57"/>
      <c r="BL476" s="57"/>
      <c r="BM476" s="57"/>
      <c r="BN476" s="57"/>
      <c r="BO476" s="57"/>
      <c r="BP476" s="57"/>
      <c r="BQ476" s="57"/>
      <c r="BR476" s="57"/>
      <c r="BS476" s="57"/>
      <c r="BT476" s="57"/>
      <c r="BU476" s="57"/>
      <c r="BV476" s="57"/>
      <c r="BW476" s="57"/>
      <c r="BX476" s="57"/>
      <c r="BY476" s="57"/>
      <c r="BZ476" s="57"/>
      <c r="CA476" s="57"/>
      <c r="CB476" s="57"/>
      <c r="CC476" s="57"/>
      <c r="CD476" s="57"/>
      <c r="CE476" s="57"/>
      <c r="CF476" s="57"/>
      <c r="CG476" s="57"/>
      <c r="CH476" s="57"/>
      <c r="CI476" s="57"/>
      <c r="CJ476" s="57"/>
      <c r="CK476" s="57"/>
      <c r="CL476" s="57"/>
      <c r="CM476" s="57"/>
      <c r="CN476" s="57"/>
      <c r="CO476" s="57"/>
      <c r="CP476" s="57"/>
      <c r="CQ476" s="57"/>
      <c r="CR476" s="57"/>
      <c r="CS476" s="57"/>
      <c r="CT476" s="57"/>
    </row>
    <row r="477" ht="15.0" customHeight="1">
      <c r="A477" s="51" t="str">
        <f t="shared" si="3"/>
        <v/>
      </c>
      <c r="B477" s="45"/>
      <c r="C477" s="39" t="str">
        <f t="shared" si="1"/>
        <v/>
      </c>
      <c r="D477" s="39" t="str">
        <f t="shared" si="2"/>
        <v/>
      </c>
      <c r="E477" s="45"/>
      <c r="F477" s="45"/>
      <c r="G477" s="45"/>
      <c r="H477" s="52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3"/>
      <c r="BN477" s="53"/>
      <c r="BO477" s="53"/>
      <c r="BP477" s="53"/>
      <c r="BQ477" s="53"/>
      <c r="BR477" s="53"/>
      <c r="BS477" s="53"/>
      <c r="BT477" s="53"/>
      <c r="BU477" s="53"/>
      <c r="BV477" s="53"/>
      <c r="BW477" s="53"/>
      <c r="BX477" s="53"/>
      <c r="BY477" s="53"/>
      <c r="BZ477" s="53"/>
      <c r="CA477" s="53"/>
      <c r="CB477" s="53"/>
      <c r="CC477" s="53"/>
      <c r="CD477" s="53"/>
      <c r="CE477" s="53"/>
      <c r="CF477" s="53"/>
      <c r="CG477" s="53"/>
      <c r="CH477" s="53"/>
      <c r="CI477" s="53"/>
      <c r="CJ477" s="53"/>
      <c r="CK477" s="53"/>
      <c r="CL477" s="53"/>
      <c r="CM477" s="53"/>
      <c r="CN477" s="53"/>
      <c r="CO477" s="53"/>
      <c r="CP477" s="53"/>
      <c r="CQ477" s="53"/>
      <c r="CR477" s="53"/>
      <c r="CS477" s="53"/>
      <c r="CT477" s="53"/>
    </row>
    <row r="478" ht="15.0" customHeight="1">
      <c r="A478" s="54" t="str">
        <f t="shared" si="3"/>
        <v/>
      </c>
      <c r="B478" s="48"/>
      <c r="C478" s="55" t="str">
        <f t="shared" si="1"/>
        <v/>
      </c>
      <c r="D478" s="55" t="str">
        <f t="shared" si="2"/>
        <v/>
      </c>
      <c r="E478" s="48"/>
      <c r="F478" s="48"/>
      <c r="G478" s="48"/>
      <c r="H478" s="56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/>
      <c r="BJ478" s="57"/>
      <c r="BK478" s="57"/>
      <c r="BL478" s="57"/>
      <c r="BM478" s="57"/>
      <c r="BN478" s="57"/>
      <c r="BO478" s="57"/>
      <c r="BP478" s="57"/>
      <c r="BQ478" s="57"/>
      <c r="BR478" s="57"/>
      <c r="BS478" s="57"/>
      <c r="BT478" s="57"/>
      <c r="BU478" s="57"/>
      <c r="BV478" s="57"/>
      <c r="BW478" s="57"/>
      <c r="BX478" s="57"/>
      <c r="BY478" s="57"/>
      <c r="BZ478" s="57"/>
      <c r="CA478" s="57"/>
      <c r="CB478" s="57"/>
      <c r="CC478" s="57"/>
      <c r="CD478" s="57"/>
      <c r="CE478" s="57"/>
      <c r="CF478" s="57"/>
      <c r="CG478" s="57"/>
      <c r="CH478" s="57"/>
      <c r="CI478" s="57"/>
      <c r="CJ478" s="57"/>
      <c r="CK478" s="57"/>
      <c r="CL478" s="57"/>
      <c r="CM478" s="57"/>
      <c r="CN478" s="57"/>
      <c r="CO478" s="57"/>
      <c r="CP478" s="57"/>
      <c r="CQ478" s="57"/>
      <c r="CR478" s="57"/>
      <c r="CS478" s="57"/>
      <c r="CT478" s="57"/>
    </row>
    <row r="479" ht="15.0" customHeight="1">
      <c r="A479" s="51" t="str">
        <f t="shared" si="3"/>
        <v/>
      </c>
      <c r="B479" s="45"/>
      <c r="C479" s="39" t="str">
        <f t="shared" si="1"/>
        <v/>
      </c>
      <c r="D479" s="39" t="str">
        <f t="shared" si="2"/>
        <v/>
      </c>
      <c r="E479" s="45"/>
      <c r="F479" s="45"/>
      <c r="G479" s="45"/>
      <c r="H479" s="52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3"/>
      <c r="BN479" s="53"/>
      <c r="BO479" s="53"/>
      <c r="BP479" s="53"/>
      <c r="BQ479" s="53"/>
      <c r="BR479" s="53"/>
      <c r="BS479" s="53"/>
      <c r="BT479" s="53"/>
      <c r="BU479" s="53"/>
      <c r="BV479" s="53"/>
      <c r="BW479" s="53"/>
      <c r="BX479" s="53"/>
      <c r="BY479" s="53"/>
      <c r="BZ479" s="53"/>
      <c r="CA479" s="53"/>
      <c r="CB479" s="53"/>
      <c r="CC479" s="53"/>
      <c r="CD479" s="53"/>
      <c r="CE479" s="53"/>
      <c r="CF479" s="53"/>
      <c r="CG479" s="53"/>
      <c r="CH479" s="53"/>
      <c r="CI479" s="53"/>
      <c r="CJ479" s="53"/>
      <c r="CK479" s="53"/>
      <c r="CL479" s="53"/>
      <c r="CM479" s="53"/>
      <c r="CN479" s="53"/>
      <c r="CO479" s="53"/>
      <c r="CP479" s="53"/>
      <c r="CQ479" s="53"/>
      <c r="CR479" s="53"/>
      <c r="CS479" s="53"/>
      <c r="CT479" s="53"/>
    </row>
    <row r="480" ht="15.0" customHeight="1">
      <c r="A480" s="54" t="str">
        <f t="shared" si="3"/>
        <v/>
      </c>
      <c r="B480" s="48"/>
      <c r="C480" s="55" t="str">
        <f t="shared" si="1"/>
        <v/>
      </c>
      <c r="D480" s="55" t="str">
        <f t="shared" si="2"/>
        <v/>
      </c>
      <c r="E480" s="48"/>
      <c r="F480" s="48"/>
      <c r="G480" s="48"/>
      <c r="H480" s="56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  <c r="BV480" s="57"/>
      <c r="BW480" s="57"/>
      <c r="BX480" s="57"/>
      <c r="BY480" s="57"/>
      <c r="BZ480" s="57"/>
      <c r="CA480" s="57"/>
      <c r="CB480" s="57"/>
      <c r="CC480" s="57"/>
      <c r="CD480" s="57"/>
      <c r="CE480" s="57"/>
      <c r="CF480" s="57"/>
      <c r="CG480" s="57"/>
      <c r="CH480" s="57"/>
      <c r="CI480" s="57"/>
      <c r="CJ480" s="57"/>
      <c r="CK480" s="57"/>
      <c r="CL480" s="57"/>
      <c r="CM480" s="57"/>
      <c r="CN480" s="57"/>
      <c r="CO480" s="57"/>
      <c r="CP480" s="57"/>
      <c r="CQ480" s="57"/>
      <c r="CR480" s="57"/>
      <c r="CS480" s="57"/>
      <c r="CT480" s="57"/>
    </row>
    <row r="481" ht="15.0" customHeight="1">
      <c r="A481" s="51" t="str">
        <f t="shared" si="3"/>
        <v/>
      </c>
      <c r="B481" s="45"/>
      <c r="C481" s="39" t="str">
        <f t="shared" si="1"/>
        <v/>
      </c>
      <c r="D481" s="39" t="str">
        <f t="shared" si="2"/>
        <v/>
      </c>
      <c r="E481" s="45"/>
      <c r="F481" s="45"/>
      <c r="G481" s="45"/>
      <c r="H481" s="52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3"/>
      <c r="BN481" s="53"/>
      <c r="BO481" s="53"/>
      <c r="BP481" s="53"/>
      <c r="BQ481" s="53"/>
      <c r="BR481" s="53"/>
      <c r="BS481" s="53"/>
      <c r="BT481" s="53"/>
      <c r="BU481" s="53"/>
      <c r="BV481" s="53"/>
      <c r="BW481" s="53"/>
      <c r="BX481" s="53"/>
      <c r="BY481" s="53"/>
      <c r="BZ481" s="53"/>
      <c r="CA481" s="53"/>
      <c r="CB481" s="53"/>
      <c r="CC481" s="53"/>
      <c r="CD481" s="53"/>
      <c r="CE481" s="53"/>
      <c r="CF481" s="53"/>
      <c r="CG481" s="53"/>
      <c r="CH481" s="53"/>
      <c r="CI481" s="53"/>
      <c r="CJ481" s="53"/>
      <c r="CK481" s="53"/>
      <c r="CL481" s="53"/>
      <c r="CM481" s="53"/>
      <c r="CN481" s="53"/>
      <c r="CO481" s="53"/>
      <c r="CP481" s="53"/>
      <c r="CQ481" s="53"/>
      <c r="CR481" s="53"/>
      <c r="CS481" s="53"/>
      <c r="CT481" s="53"/>
    </row>
    <row r="482" ht="15.0" customHeight="1">
      <c r="A482" s="54" t="str">
        <f t="shared" si="3"/>
        <v/>
      </c>
      <c r="B482" s="48"/>
      <c r="C482" s="55" t="str">
        <f t="shared" si="1"/>
        <v/>
      </c>
      <c r="D482" s="55" t="str">
        <f t="shared" si="2"/>
        <v/>
      </c>
      <c r="E482" s="48"/>
      <c r="F482" s="48"/>
      <c r="G482" s="48"/>
      <c r="H482" s="56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  <c r="BV482" s="57"/>
      <c r="BW482" s="57"/>
      <c r="BX482" s="57"/>
      <c r="BY482" s="57"/>
      <c r="BZ482" s="57"/>
      <c r="CA482" s="57"/>
      <c r="CB482" s="57"/>
      <c r="CC482" s="57"/>
      <c r="CD482" s="57"/>
      <c r="CE482" s="57"/>
      <c r="CF482" s="57"/>
      <c r="CG482" s="57"/>
      <c r="CH482" s="57"/>
      <c r="CI482" s="57"/>
      <c r="CJ482" s="57"/>
      <c r="CK482" s="57"/>
      <c r="CL482" s="57"/>
      <c r="CM482" s="57"/>
      <c r="CN482" s="57"/>
      <c r="CO482" s="57"/>
      <c r="CP482" s="57"/>
      <c r="CQ482" s="57"/>
      <c r="CR482" s="57"/>
      <c r="CS482" s="57"/>
      <c r="CT482" s="57"/>
    </row>
    <row r="483" ht="15.0" customHeight="1">
      <c r="A483" s="51" t="str">
        <f t="shared" si="3"/>
        <v/>
      </c>
      <c r="B483" s="45"/>
      <c r="C483" s="39" t="str">
        <f t="shared" si="1"/>
        <v/>
      </c>
      <c r="D483" s="39" t="str">
        <f t="shared" si="2"/>
        <v/>
      </c>
      <c r="E483" s="45"/>
      <c r="F483" s="45"/>
      <c r="G483" s="45"/>
      <c r="H483" s="52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3"/>
      <c r="BN483" s="53"/>
      <c r="BO483" s="53"/>
      <c r="BP483" s="53"/>
      <c r="BQ483" s="53"/>
      <c r="BR483" s="53"/>
      <c r="BS483" s="53"/>
      <c r="BT483" s="53"/>
      <c r="BU483" s="53"/>
      <c r="BV483" s="53"/>
      <c r="BW483" s="53"/>
      <c r="BX483" s="53"/>
      <c r="BY483" s="53"/>
      <c r="BZ483" s="53"/>
      <c r="CA483" s="53"/>
      <c r="CB483" s="53"/>
      <c r="CC483" s="53"/>
      <c r="CD483" s="53"/>
      <c r="CE483" s="53"/>
      <c r="CF483" s="53"/>
      <c r="CG483" s="53"/>
      <c r="CH483" s="53"/>
      <c r="CI483" s="53"/>
      <c r="CJ483" s="53"/>
      <c r="CK483" s="53"/>
      <c r="CL483" s="53"/>
      <c r="CM483" s="53"/>
      <c r="CN483" s="53"/>
      <c r="CO483" s="53"/>
      <c r="CP483" s="53"/>
      <c r="CQ483" s="53"/>
      <c r="CR483" s="53"/>
      <c r="CS483" s="53"/>
      <c r="CT483" s="53"/>
    </row>
    <row r="484" ht="15.0" customHeight="1">
      <c r="A484" s="54" t="str">
        <f t="shared" si="3"/>
        <v/>
      </c>
      <c r="B484" s="48"/>
      <c r="C484" s="55" t="str">
        <f t="shared" si="1"/>
        <v/>
      </c>
      <c r="D484" s="55" t="str">
        <f t="shared" si="2"/>
        <v/>
      </c>
      <c r="E484" s="48"/>
      <c r="F484" s="48"/>
      <c r="G484" s="48"/>
      <c r="H484" s="56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  <c r="BV484" s="57"/>
      <c r="BW484" s="57"/>
      <c r="BX484" s="57"/>
      <c r="BY484" s="57"/>
      <c r="BZ484" s="57"/>
      <c r="CA484" s="57"/>
      <c r="CB484" s="57"/>
      <c r="CC484" s="57"/>
      <c r="CD484" s="57"/>
      <c r="CE484" s="57"/>
      <c r="CF484" s="57"/>
      <c r="CG484" s="57"/>
      <c r="CH484" s="57"/>
      <c r="CI484" s="57"/>
      <c r="CJ484" s="57"/>
      <c r="CK484" s="57"/>
      <c r="CL484" s="57"/>
      <c r="CM484" s="57"/>
      <c r="CN484" s="57"/>
      <c r="CO484" s="57"/>
      <c r="CP484" s="57"/>
      <c r="CQ484" s="57"/>
      <c r="CR484" s="57"/>
      <c r="CS484" s="57"/>
      <c r="CT484" s="57"/>
    </row>
    <row r="485" ht="15.0" customHeight="1">
      <c r="A485" s="51" t="str">
        <f t="shared" si="3"/>
        <v/>
      </c>
      <c r="B485" s="45"/>
      <c r="C485" s="39" t="str">
        <f t="shared" si="1"/>
        <v/>
      </c>
      <c r="D485" s="39" t="str">
        <f t="shared" si="2"/>
        <v/>
      </c>
      <c r="E485" s="45"/>
      <c r="F485" s="45"/>
      <c r="G485" s="45"/>
      <c r="H485" s="52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  <c r="CD485" s="53"/>
      <c r="CE485" s="53"/>
      <c r="CF485" s="53"/>
      <c r="CG485" s="53"/>
      <c r="CH485" s="53"/>
      <c r="CI485" s="53"/>
      <c r="CJ485" s="53"/>
      <c r="CK485" s="53"/>
      <c r="CL485" s="53"/>
      <c r="CM485" s="53"/>
      <c r="CN485" s="53"/>
      <c r="CO485" s="53"/>
      <c r="CP485" s="53"/>
      <c r="CQ485" s="53"/>
      <c r="CR485" s="53"/>
      <c r="CS485" s="53"/>
      <c r="CT485" s="53"/>
    </row>
    <row r="486" ht="15.0" customHeight="1">
      <c r="A486" s="54" t="str">
        <f t="shared" si="3"/>
        <v/>
      </c>
      <c r="B486" s="48"/>
      <c r="C486" s="55" t="str">
        <f t="shared" si="1"/>
        <v/>
      </c>
      <c r="D486" s="55" t="str">
        <f t="shared" si="2"/>
        <v/>
      </c>
      <c r="E486" s="48"/>
      <c r="F486" s="48"/>
      <c r="G486" s="48"/>
      <c r="H486" s="56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  <c r="BV486" s="57"/>
      <c r="BW486" s="57"/>
      <c r="BX486" s="57"/>
      <c r="BY486" s="57"/>
      <c r="BZ486" s="57"/>
      <c r="CA486" s="57"/>
      <c r="CB486" s="57"/>
      <c r="CC486" s="57"/>
      <c r="CD486" s="57"/>
      <c r="CE486" s="57"/>
      <c r="CF486" s="57"/>
      <c r="CG486" s="57"/>
      <c r="CH486" s="57"/>
      <c r="CI486" s="57"/>
      <c r="CJ486" s="57"/>
      <c r="CK486" s="57"/>
      <c r="CL486" s="57"/>
      <c r="CM486" s="57"/>
      <c r="CN486" s="57"/>
      <c r="CO486" s="57"/>
      <c r="CP486" s="57"/>
      <c r="CQ486" s="57"/>
      <c r="CR486" s="57"/>
      <c r="CS486" s="57"/>
      <c r="CT486" s="57"/>
    </row>
    <row r="487" ht="15.0" customHeight="1">
      <c r="A487" s="51" t="str">
        <f t="shared" si="3"/>
        <v/>
      </c>
      <c r="B487" s="45"/>
      <c r="C487" s="39" t="str">
        <f t="shared" si="1"/>
        <v/>
      </c>
      <c r="D487" s="39" t="str">
        <f t="shared" si="2"/>
        <v/>
      </c>
      <c r="E487" s="45"/>
      <c r="F487" s="45"/>
      <c r="G487" s="45"/>
      <c r="H487" s="52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  <c r="BV487" s="53"/>
      <c r="BW487" s="53"/>
      <c r="BX487" s="53"/>
      <c r="BY487" s="53"/>
      <c r="BZ487" s="53"/>
      <c r="CA487" s="53"/>
      <c r="CB487" s="53"/>
      <c r="CC487" s="53"/>
      <c r="CD487" s="53"/>
      <c r="CE487" s="53"/>
      <c r="CF487" s="53"/>
      <c r="CG487" s="53"/>
      <c r="CH487" s="53"/>
      <c r="CI487" s="53"/>
      <c r="CJ487" s="53"/>
      <c r="CK487" s="53"/>
      <c r="CL487" s="53"/>
      <c r="CM487" s="53"/>
      <c r="CN487" s="53"/>
      <c r="CO487" s="53"/>
      <c r="CP487" s="53"/>
      <c r="CQ487" s="53"/>
      <c r="CR487" s="53"/>
      <c r="CS487" s="53"/>
      <c r="CT487" s="53"/>
    </row>
    <row r="488" ht="15.0" customHeight="1">
      <c r="A488" s="54" t="str">
        <f t="shared" si="3"/>
        <v/>
      </c>
      <c r="B488" s="48"/>
      <c r="C488" s="55" t="str">
        <f t="shared" si="1"/>
        <v/>
      </c>
      <c r="D488" s="55" t="str">
        <f t="shared" si="2"/>
        <v/>
      </c>
      <c r="E488" s="48"/>
      <c r="F488" s="48"/>
      <c r="G488" s="48"/>
      <c r="H488" s="56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  <c r="BV488" s="57"/>
      <c r="BW488" s="57"/>
      <c r="BX488" s="57"/>
      <c r="BY488" s="57"/>
      <c r="BZ488" s="57"/>
      <c r="CA488" s="57"/>
      <c r="CB488" s="57"/>
      <c r="CC488" s="57"/>
      <c r="CD488" s="57"/>
      <c r="CE488" s="57"/>
      <c r="CF488" s="57"/>
      <c r="CG488" s="57"/>
      <c r="CH488" s="57"/>
      <c r="CI488" s="57"/>
      <c r="CJ488" s="57"/>
      <c r="CK488" s="57"/>
      <c r="CL488" s="57"/>
      <c r="CM488" s="57"/>
      <c r="CN488" s="57"/>
      <c r="CO488" s="57"/>
      <c r="CP488" s="57"/>
      <c r="CQ488" s="57"/>
      <c r="CR488" s="57"/>
      <c r="CS488" s="57"/>
      <c r="CT488" s="57"/>
    </row>
    <row r="489" ht="15.0" customHeight="1">
      <c r="A489" s="51" t="str">
        <f t="shared" si="3"/>
        <v/>
      </c>
      <c r="B489" s="45"/>
      <c r="C489" s="39" t="str">
        <f t="shared" si="1"/>
        <v/>
      </c>
      <c r="D489" s="39" t="str">
        <f t="shared" si="2"/>
        <v/>
      </c>
      <c r="E489" s="45"/>
      <c r="F489" s="45"/>
      <c r="G489" s="45"/>
      <c r="H489" s="52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3"/>
      <c r="BN489" s="53"/>
      <c r="BO489" s="53"/>
      <c r="BP489" s="53"/>
      <c r="BQ489" s="53"/>
      <c r="BR489" s="53"/>
      <c r="BS489" s="53"/>
      <c r="BT489" s="53"/>
      <c r="BU489" s="53"/>
      <c r="BV489" s="53"/>
      <c r="BW489" s="53"/>
      <c r="BX489" s="53"/>
      <c r="BY489" s="53"/>
      <c r="BZ489" s="53"/>
      <c r="CA489" s="53"/>
      <c r="CB489" s="53"/>
      <c r="CC489" s="53"/>
      <c r="CD489" s="53"/>
      <c r="CE489" s="53"/>
      <c r="CF489" s="53"/>
      <c r="CG489" s="53"/>
      <c r="CH489" s="53"/>
      <c r="CI489" s="53"/>
      <c r="CJ489" s="53"/>
      <c r="CK489" s="53"/>
      <c r="CL489" s="53"/>
      <c r="CM489" s="53"/>
      <c r="CN489" s="53"/>
      <c r="CO489" s="53"/>
      <c r="CP489" s="53"/>
      <c r="CQ489" s="53"/>
      <c r="CR489" s="53"/>
      <c r="CS489" s="53"/>
      <c r="CT489" s="53"/>
    </row>
    <row r="490" ht="15.0" customHeight="1">
      <c r="A490" s="54" t="str">
        <f t="shared" si="3"/>
        <v/>
      </c>
      <c r="B490" s="48"/>
      <c r="C490" s="55" t="str">
        <f t="shared" si="1"/>
        <v/>
      </c>
      <c r="D490" s="55" t="str">
        <f t="shared" si="2"/>
        <v/>
      </c>
      <c r="E490" s="48"/>
      <c r="F490" s="48"/>
      <c r="G490" s="48"/>
      <c r="H490" s="56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  <c r="BV490" s="57"/>
      <c r="BW490" s="57"/>
      <c r="BX490" s="57"/>
      <c r="BY490" s="57"/>
      <c r="BZ490" s="57"/>
      <c r="CA490" s="57"/>
      <c r="CB490" s="57"/>
      <c r="CC490" s="57"/>
      <c r="CD490" s="57"/>
      <c r="CE490" s="57"/>
      <c r="CF490" s="57"/>
      <c r="CG490" s="57"/>
      <c r="CH490" s="57"/>
      <c r="CI490" s="57"/>
      <c r="CJ490" s="57"/>
      <c r="CK490" s="57"/>
      <c r="CL490" s="57"/>
      <c r="CM490" s="57"/>
      <c r="CN490" s="57"/>
      <c r="CO490" s="57"/>
      <c r="CP490" s="57"/>
      <c r="CQ490" s="57"/>
      <c r="CR490" s="57"/>
      <c r="CS490" s="57"/>
      <c r="CT490" s="57"/>
    </row>
    <row r="491" ht="15.0" customHeight="1">
      <c r="A491" s="51" t="str">
        <f t="shared" si="3"/>
        <v/>
      </c>
      <c r="B491" s="45"/>
      <c r="C491" s="39" t="str">
        <f t="shared" si="1"/>
        <v/>
      </c>
      <c r="D491" s="39" t="str">
        <f t="shared" si="2"/>
        <v/>
      </c>
      <c r="E491" s="45"/>
      <c r="F491" s="45"/>
      <c r="G491" s="45"/>
      <c r="H491" s="52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3"/>
      <c r="BN491" s="53"/>
      <c r="BO491" s="53"/>
      <c r="BP491" s="53"/>
      <c r="BQ491" s="53"/>
      <c r="BR491" s="53"/>
      <c r="BS491" s="53"/>
      <c r="BT491" s="53"/>
      <c r="BU491" s="53"/>
      <c r="BV491" s="53"/>
      <c r="BW491" s="53"/>
      <c r="BX491" s="53"/>
      <c r="BY491" s="53"/>
      <c r="BZ491" s="53"/>
      <c r="CA491" s="53"/>
      <c r="CB491" s="53"/>
      <c r="CC491" s="53"/>
      <c r="CD491" s="53"/>
      <c r="CE491" s="53"/>
      <c r="CF491" s="53"/>
      <c r="CG491" s="53"/>
      <c r="CH491" s="53"/>
      <c r="CI491" s="53"/>
      <c r="CJ491" s="53"/>
      <c r="CK491" s="53"/>
      <c r="CL491" s="53"/>
      <c r="CM491" s="53"/>
      <c r="CN491" s="53"/>
      <c r="CO491" s="53"/>
      <c r="CP491" s="53"/>
      <c r="CQ491" s="53"/>
      <c r="CR491" s="53"/>
      <c r="CS491" s="53"/>
      <c r="CT491" s="53"/>
    </row>
    <row r="492" ht="15.0" customHeight="1">
      <c r="A492" s="54" t="str">
        <f t="shared" si="3"/>
        <v/>
      </c>
      <c r="B492" s="48"/>
      <c r="C492" s="55" t="str">
        <f t="shared" si="1"/>
        <v/>
      </c>
      <c r="D492" s="55" t="str">
        <f t="shared" si="2"/>
        <v/>
      </c>
      <c r="E492" s="48"/>
      <c r="F492" s="48"/>
      <c r="G492" s="48"/>
      <c r="H492" s="56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  <c r="BV492" s="57"/>
      <c r="BW492" s="57"/>
      <c r="BX492" s="57"/>
      <c r="BY492" s="57"/>
      <c r="BZ492" s="57"/>
      <c r="CA492" s="57"/>
      <c r="CB492" s="57"/>
      <c r="CC492" s="57"/>
      <c r="CD492" s="57"/>
      <c r="CE492" s="57"/>
      <c r="CF492" s="57"/>
      <c r="CG492" s="57"/>
      <c r="CH492" s="57"/>
      <c r="CI492" s="57"/>
      <c r="CJ492" s="57"/>
      <c r="CK492" s="57"/>
      <c r="CL492" s="57"/>
      <c r="CM492" s="57"/>
      <c r="CN492" s="57"/>
      <c r="CO492" s="57"/>
      <c r="CP492" s="57"/>
      <c r="CQ492" s="57"/>
      <c r="CR492" s="57"/>
      <c r="CS492" s="57"/>
      <c r="CT492" s="57"/>
    </row>
    <row r="493" ht="15.0" customHeight="1">
      <c r="A493" s="51" t="str">
        <f t="shared" si="3"/>
        <v/>
      </c>
      <c r="B493" s="45"/>
      <c r="C493" s="39" t="str">
        <f t="shared" si="1"/>
        <v/>
      </c>
      <c r="D493" s="39" t="str">
        <f t="shared" si="2"/>
        <v/>
      </c>
      <c r="E493" s="45"/>
      <c r="F493" s="45"/>
      <c r="G493" s="45"/>
      <c r="H493" s="52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3"/>
      <c r="BN493" s="53"/>
      <c r="BO493" s="53"/>
      <c r="BP493" s="53"/>
      <c r="BQ493" s="53"/>
      <c r="BR493" s="53"/>
      <c r="BS493" s="53"/>
      <c r="BT493" s="53"/>
      <c r="BU493" s="53"/>
      <c r="BV493" s="53"/>
      <c r="BW493" s="53"/>
      <c r="BX493" s="53"/>
      <c r="BY493" s="53"/>
      <c r="BZ493" s="53"/>
      <c r="CA493" s="53"/>
      <c r="CB493" s="53"/>
      <c r="CC493" s="53"/>
      <c r="CD493" s="53"/>
      <c r="CE493" s="53"/>
      <c r="CF493" s="53"/>
      <c r="CG493" s="53"/>
      <c r="CH493" s="53"/>
      <c r="CI493" s="53"/>
      <c r="CJ493" s="53"/>
      <c r="CK493" s="53"/>
      <c r="CL493" s="53"/>
      <c r="CM493" s="53"/>
      <c r="CN493" s="53"/>
      <c r="CO493" s="53"/>
      <c r="CP493" s="53"/>
      <c r="CQ493" s="53"/>
      <c r="CR493" s="53"/>
      <c r="CS493" s="53"/>
      <c r="CT493" s="53"/>
    </row>
    <row r="494" ht="15.0" customHeight="1">
      <c r="A494" s="54" t="str">
        <f t="shared" si="3"/>
        <v/>
      </c>
      <c r="B494" s="48"/>
      <c r="C494" s="55" t="str">
        <f t="shared" si="1"/>
        <v/>
      </c>
      <c r="D494" s="55" t="str">
        <f t="shared" si="2"/>
        <v/>
      </c>
      <c r="E494" s="48"/>
      <c r="F494" s="48"/>
      <c r="G494" s="48"/>
      <c r="H494" s="56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  <c r="BV494" s="57"/>
      <c r="BW494" s="57"/>
      <c r="BX494" s="57"/>
      <c r="BY494" s="57"/>
      <c r="BZ494" s="57"/>
      <c r="CA494" s="57"/>
      <c r="CB494" s="57"/>
      <c r="CC494" s="57"/>
      <c r="CD494" s="57"/>
      <c r="CE494" s="57"/>
      <c r="CF494" s="57"/>
      <c r="CG494" s="57"/>
      <c r="CH494" s="57"/>
      <c r="CI494" s="57"/>
      <c r="CJ494" s="57"/>
      <c r="CK494" s="57"/>
      <c r="CL494" s="57"/>
      <c r="CM494" s="57"/>
      <c r="CN494" s="57"/>
      <c r="CO494" s="57"/>
      <c r="CP494" s="57"/>
      <c r="CQ494" s="57"/>
      <c r="CR494" s="57"/>
      <c r="CS494" s="57"/>
      <c r="CT494" s="57"/>
    </row>
    <row r="495" ht="15.0" customHeight="1">
      <c r="A495" s="51" t="str">
        <f t="shared" si="3"/>
        <v/>
      </c>
      <c r="B495" s="45"/>
      <c r="C495" s="39" t="str">
        <f t="shared" si="1"/>
        <v/>
      </c>
      <c r="D495" s="39" t="str">
        <f t="shared" si="2"/>
        <v/>
      </c>
      <c r="E495" s="45"/>
      <c r="F495" s="45"/>
      <c r="G495" s="45"/>
      <c r="H495" s="52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3"/>
      <c r="BN495" s="53"/>
      <c r="BO495" s="53"/>
      <c r="BP495" s="53"/>
      <c r="BQ495" s="53"/>
      <c r="BR495" s="53"/>
      <c r="BS495" s="53"/>
      <c r="BT495" s="53"/>
      <c r="BU495" s="53"/>
      <c r="BV495" s="53"/>
      <c r="BW495" s="53"/>
      <c r="BX495" s="53"/>
      <c r="BY495" s="53"/>
      <c r="BZ495" s="53"/>
      <c r="CA495" s="53"/>
      <c r="CB495" s="53"/>
      <c r="CC495" s="53"/>
      <c r="CD495" s="53"/>
      <c r="CE495" s="53"/>
      <c r="CF495" s="53"/>
      <c r="CG495" s="53"/>
      <c r="CH495" s="53"/>
      <c r="CI495" s="53"/>
      <c r="CJ495" s="53"/>
      <c r="CK495" s="53"/>
      <c r="CL495" s="53"/>
      <c r="CM495" s="53"/>
      <c r="CN495" s="53"/>
      <c r="CO495" s="53"/>
      <c r="CP495" s="53"/>
      <c r="CQ495" s="53"/>
      <c r="CR495" s="53"/>
      <c r="CS495" s="53"/>
      <c r="CT495" s="53"/>
    </row>
    <row r="496" ht="15.0" customHeight="1">
      <c r="A496" s="54" t="str">
        <f t="shared" si="3"/>
        <v/>
      </c>
      <c r="B496" s="48"/>
      <c r="C496" s="55" t="str">
        <f t="shared" si="1"/>
        <v/>
      </c>
      <c r="D496" s="55" t="str">
        <f t="shared" si="2"/>
        <v/>
      </c>
      <c r="E496" s="48"/>
      <c r="F496" s="48"/>
      <c r="G496" s="48"/>
      <c r="H496" s="56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  <c r="BV496" s="57"/>
      <c r="BW496" s="57"/>
      <c r="BX496" s="57"/>
      <c r="BY496" s="57"/>
      <c r="BZ496" s="57"/>
      <c r="CA496" s="57"/>
      <c r="CB496" s="57"/>
      <c r="CC496" s="57"/>
      <c r="CD496" s="57"/>
      <c r="CE496" s="57"/>
      <c r="CF496" s="57"/>
      <c r="CG496" s="57"/>
      <c r="CH496" s="57"/>
      <c r="CI496" s="57"/>
      <c r="CJ496" s="57"/>
      <c r="CK496" s="57"/>
      <c r="CL496" s="57"/>
      <c r="CM496" s="57"/>
      <c r="CN496" s="57"/>
      <c r="CO496" s="57"/>
      <c r="CP496" s="57"/>
      <c r="CQ496" s="57"/>
      <c r="CR496" s="57"/>
      <c r="CS496" s="57"/>
      <c r="CT496" s="57"/>
    </row>
    <row r="497" ht="15.0" customHeight="1">
      <c r="A497" s="51" t="str">
        <f t="shared" si="3"/>
        <v/>
      </c>
      <c r="B497" s="45"/>
      <c r="C497" s="39" t="str">
        <f t="shared" si="1"/>
        <v/>
      </c>
      <c r="D497" s="39" t="str">
        <f t="shared" si="2"/>
        <v/>
      </c>
      <c r="E497" s="45"/>
      <c r="F497" s="45"/>
      <c r="G497" s="45"/>
      <c r="H497" s="52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53"/>
      <c r="BP497" s="53"/>
      <c r="BQ497" s="53"/>
      <c r="BR497" s="53"/>
      <c r="BS497" s="53"/>
      <c r="BT497" s="53"/>
      <c r="BU497" s="53"/>
      <c r="BV497" s="53"/>
      <c r="BW497" s="53"/>
      <c r="BX497" s="53"/>
      <c r="BY497" s="53"/>
      <c r="BZ497" s="53"/>
      <c r="CA497" s="53"/>
      <c r="CB497" s="53"/>
      <c r="CC497" s="53"/>
      <c r="CD497" s="53"/>
      <c r="CE497" s="53"/>
      <c r="CF497" s="53"/>
      <c r="CG497" s="53"/>
      <c r="CH497" s="53"/>
      <c r="CI497" s="53"/>
      <c r="CJ497" s="53"/>
      <c r="CK497" s="53"/>
      <c r="CL497" s="53"/>
      <c r="CM497" s="53"/>
      <c r="CN497" s="53"/>
      <c r="CO497" s="53"/>
      <c r="CP497" s="53"/>
      <c r="CQ497" s="53"/>
      <c r="CR497" s="53"/>
      <c r="CS497" s="53"/>
      <c r="CT497" s="53"/>
    </row>
    <row r="498" ht="15.0" customHeight="1">
      <c r="A498" s="54" t="str">
        <f t="shared" si="3"/>
        <v/>
      </c>
      <c r="B498" s="48"/>
      <c r="C498" s="55" t="str">
        <f t="shared" si="1"/>
        <v/>
      </c>
      <c r="D498" s="55" t="str">
        <f t="shared" si="2"/>
        <v/>
      </c>
      <c r="E498" s="48"/>
      <c r="F498" s="48"/>
      <c r="G498" s="48"/>
      <c r="H498" s="56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  <c r="BV498" s="57"/>
      <c r="BW498" s="57"/>
      <c r="BX498" s="57"/>
      <c r="BY498" s="57"/>
      <c r="BZ498" s="57"/>
      <c r="CA498" s="57"/>
      <c r="CB498" s="57"/>
      <c r="CC498" s="57"/>
      <c r="CD498" s="57"/>
      <c r="CE498" s="57"/>
      <c r="CF498" s="57"/>
      <c r="CG498" s="57"/>
      <c r="CH498" s="57"/>
      <c r="CI498" s="57"/>
      <c r="CJ498" s="57"/>
      <c r="CK498" s="57"/>
      <c r="CL498" s="57"/>
      <c r="CM498" s="57"/>
      <c r="CN498" s="57"/>
      <c r="CO498" s="57"/>
      <c r="CP498" s="57"/>
      <c r="CQ498" s="57"/>
      <c r="CR498" s="57"/>
      <c r="CS498" s="57"/>
      <c r="CT498" s="57"/>
    </row>
    <row r="499" ht="15.0" customHeight="1">
      <c r="A499" s="51" t="str">
        <f t="shared" si="3"/>
        <v/>
      </c>
      <c r="B499" s="45"/>
      <c r="C499" s="39" t="str">
        <f t="shared" si="1"/>
        <v/>
      </c>
      <c r="D499" s="39" t="str">
        <f t="shared" si="2"/>
        <v/>
      </c>
      <c r="E499" s="45"/>
      <c r="F499" s="45"/>
      <c r="G499" s="45"/>
      <c r="H499" s="52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3"/>
      <c r="BN499" s="53"/>
      <c r="BO499" s="53"/>
      <c r="BP499" s="53"/>
      <c r="BQ499" s="53"/>
      <c r="BR499" s="53"/>
      <c r="BS499" s="53"/>
      <c r="BT499" s="53"/>
      <c r="BU499" s="53"/>
      <c r="BV499" s="53"/>
      <c r="BW499" s="53"/>
      <c r="BX499" s="53"/>
      <c r="BY499" s="53"/>
      <c r="BZ499" s="53"/>
      <c r="CA499" s="53"/>
      <c r="CB499" s="53"/>
      <c r="CC499" s="53"/>
      <c r="CD499" s="53"/>
      <c r="CE499" s="53"/>
      <c r="CF499" s="53"/>
      <c r="CG499" s="53"/>
      <c r="CH499" s="53"/>
      <c r="CI499" s="53"/>
      <c r="CJ499" s="53"/>
      <c r="CK499" s="53"/>
      <c r="CL499" s="53"/>
      <c r="CM499" s="53"/>
      <c r="CN499" s="53"/>
      <c r="CO499" s="53"/>
      <c r="CP499" s="53"/>
      <c r="CQ499" s="53"/>
      <c r="CR499" s="53"/>
      <c r="CS499" s="53"/>
      <c r="CT499" s="53"/>
    </row>
    <row r="500" ht="15.0" customHeight="1">
      <c r="A500" s="54" t="str">
        <f t="shared" si="3"/>
        <v/>
      </c>
      <c r="B500" s="48"/>
      <c r="C500" s="55" t="str">
        <f t="shared" si="1"/>
        <v/>
      </c>
      <c r="D500" s="55" t="str">
        <f t="shared" si="2"/>
        <v/>
      </c>
      <c r="E500" s="48"/>
      <c r="F500" s="48"/>
      <c r="G500" s="48"/>
      <c r="H500" s="56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  <c r="BV500" s="57"/>
      <c r="BW500" s="57"/>
      <c r="BX500" s="57"/>
      <c r="BY500" s="57"/>
      <c r="BZ500" s="57"/>
      <c r="CA500" s="57"/>
      <c r="CB500" s="57"/>
      <c r="CC500" s="57"/>
      <c r="CD500" s="57"/>
      <c r="CE500" s="57"/>
      <c r="CF500" s="57"/>
      <c r="CG500" s="57"/>
      <c r="CH500" s="57"/>
      <c r="CI500" s="57"/>
      <c r="CJ500" s="57"/>
      <c r="CK500" s="57"/>
      <c r="CL500" s="57"/>
      <c r="CM500" s="57"/>
      <c r="CN500" s="57"/>
      <c r="CO500" s="57"/>
      <c r="CP500" s="57"/>
      <c r="CQ500" s="57"/>
      <c r="CR500" s="57"/>
      <c r="CS500" s="57"/>
      <c r="CT500" s="57"/>
    </row>
  </sheetData>
  <mergeCells count="2">
    <mergeCell ref="A1:CT1"/>
    <mergeCell ref="A2:CT2"/>
  </mergeCells>
  <conditionalFormatting sqref="I5:CT102">
    <cfRule type="cellIs" dxfId="0" priority="1" operator="equal">
      <formula>1</formula>
    </cfRule>
  </conditionalFormatting>
  <dataValidations>
    <dataValidation type="decimal" allowBlank="1" showInputMessage="1" showErrorMessage="1" prompt="Invalid value - Enter 1 (overwash present), 0 (no overwash assessed), or leave blank (not assessed)." sqref="I5:CT12 I13:BE13 BG13:CT13 I14:CT500">
      <formula1>0.0</formula1>
      <formula2>1.0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10.0"/>
    <col customWidth="1" min="4" max="4" width="18.0"/>
    <col customWidth="1" min="5" max="5" width="11.0"/>
    <col customWidth="1" min="6" max="6" width="14.0"/>
    <col customWidth="1" min="7" max="7" width="16.0"/>
    <col customWidth="1" min="8" max="8" width="73.43"/>
    <col customWidth="1" min="9" max="26" width="8.71"/>
  </cols>
  <sheetData>
    <row r="1" ht="24.0" customHeight="1">
      <c r="A1" s="58" t="s">
        <v>43</v>
      </c>
      <c r="B1" s="2"/>
      <c r="C1" s="2"/>
      <c r="D1" s="2"/>
      <c r="E1" s="2"/>
      <c r="F1" s="2"/>
      <c r="G1" s="2"/>
      <c r="H1" s="3"/>
    </row>
    <row r="2" ht="18.0" customHeight="1">
      <c r="A2" s="59" t="s">
        <v>44</v>
      </c>
      <c r="B2" s="2"/>
      <c r="C2" s="2"/>
      <c r="D2" s="2"/>
      <c r="E2" s="2"/>
      <c r="F2" s="2"/>
      <c r="G2" s="2"/>
      <c r="H2" s="3"/>
    </row>
    <row r="3" ht="27.75" customHeight="1">
      <c r="A3" s="21" t="s">
        <v>45</v>
      </c>
      <c r="B3" s="21" t="s">
        <v>14</v>
      </c>
      <c r="C3" s="21" t="s">
        <v>46</v>
      </c>
      <c r="D3" s="21" t="s">
        <v>47</v>
      </c>
      <c r="E3" s="21" t="s">
        <v>48</v>
      </c>
      <c r="F3" s="21" t="s">
        <v>49</v>
      </c>
      <c r="G3" s="21" t="s">
        <v>50</v>
      </c>
      <c r="H3" s="21" t="s">
        <v>51</v>
      </c>
    </row>
    <row r="4" ht="18.0" customHeight="1">
      <c r="A4" s="60" t="s">
        <v>18</v>
      </c>
      <c r="B4" s="61" t="s">
        <v>19</v>
      </c>
      <c r="C4" s="61" t="s">
        <v>52</v>
      </c>
      <c r="D4" s="61" t="s">
        <v>53</v>
      </c>
      <c r="E4" s="60" t="s">
        <v>54</v>
      </c>
      <c r="F4" s="60" t="s">
        <v>55</v>
      </c>
      <c r="G4" s="61" t="s">
        <v>56</v>
      </c>
      <c r="H4" s="61" t="s">
        <v>57</v>
      </c>
    </row>
    <row r="5" ht="18.0" customHeight="1">
      <c r="A5" s="60" t="s">
        <v>58</v>
      </c>
      <c r="B5" s="61" t="s">
        <v>59</v>
      </c>
      <c r="C5" s="61" t="s">
        <v>52</v>
      </c>
      <c r="D5" s="61" t="s">
        <v>60</v>
      </c>
      <c r="E5" s="60" t="s">
        <v>54</v>
      </c>
      <c r="F5" s="60" t="s">
        <v>55</v>
      </c>
      <c r="G5" s="61" t="s">
        <v>61</v>
      </c>
      <c r="H5" s="61" t="s">
        <v>62</v>
      </c>
    </row>
    <row r="6" ht="18.0" customHeight="1">
      <c r="A6" s="62" t="s">
        <v>63</v>
      </c>
      <c r="B6" s="63" t="s">
        <v>64</v>
      </c>
      <c r="C6" s="63" t="s">
        <v>52</v>
      </c>
      <c r="D6" s="63" t="s">
        <v>65</v>
      </c>
      <c r="E6" s="62" t="s">
        <v>66</v>
      </c>
      <c r="F6" s="62" t="s">
        <v>67</v>
      </c>
      <c r="G6" s="63" t="s">
        <v>68</v>
      </c>
      <c r="H6" s="63" t="s">
        <v>69</v>
      </c>
    </row>
    <row r="7" ht="18.0" customHeight="1">
      <c r="A7" s="64" t="s">
        <v>70</v>
      </c>
      <c r="B7" s="65" t="s">
        <v>71</v>
      </c>
      <c r="C7" s="65" t="s">
        <v>52</v>
      </c>
      <c r="D7" s="65" t="s">
        <v>72</v>
      </c>
      <c r="E7" s="64" t="s">
        <v>73</v>
      </c>
      <c r="F7" s="64" t="s">
        <v>74</v>
      </c>
      <c r="G7" s="65" t="s">
        <v>75</v>
      </c>
      <c r="H7" s="65" t="s">
        <v>76</v>
      </c>
    </row>
    <row r="8" ht="18.0" customHeight="1">
      <c r="A8" s="66" t="s">
        <v>77</v>
      </c>
      <c r="B8" s="67" t="s">
        <v>78</v>
      </c>
      <c r="C8" s="67" t="s">
        <v>79</v>
      </c>
      <c r="D8" s="67" t="s">
        <v>80</v>
      </c>
      <c r="E8" s="66" t="s">
        <v>81</v>
      </c>
      <c r="F8" s="66" t="s">
        <v>74</v>
      </c>
      <c r="G8" s="67" t="s">
        <v>82</v>
      </c>
      <c r="H8" s="67" t="s">
        <v>83</v>
      </c>
    </row>
    <row r="9" ht="18.0" customHeight="1">
      <c r="A9" s="68" t="s">
        <v>84</v>
      </c>
      <c r="B9" s="69" t="s">
        <v>85</v>
      </c>
      <c r="C9" s="69" t="s">
        <v>86</v>
      </c>
      <c r="D9" s="69" t="s">
        <v>87</v>
      </c>
      <c r="E9" s="68" t="s">
        <v>88</v>
      </c>
      <c r="F9" s="68" t="s">
        <v>55</v>
      </c>
      <c r="G9" s="69" t="s">
        <v>89</v>
      </c>
      <c r="H9" s="69" t="s">
        <v>90</v>
      </c>
    </row>
    <row r="10" ht="18.0" customHeight="1">
      <c r="A10" s="62" t="s">
        <v>25</v>
      </c>
      <c r="B10" s="63" t="s">
        <v>26</v>
      </c>
      <c r="C10" s="63" t="s">
        <v>52</v>
      </c>
      <c r="D10" s="63" t="s">
        <v>91</v>
      </c>
      <c r="E10" s="62" t="s">
        <v>66</v>
      </c>
      <c r="F10" s="62" t="s">
        <v>67</v>
      </c>
      <c r="G10" s="63" t="s">
        <v>92</v>
      </c>
      <c r="H10" s="63" t="s">
        <v>93</v>
      </c>
    </row>
    <row r="11" ht="18.0" customHeight="1">
      <c r="A11" s="68" t="s">
        <v>94</v>
      </c>
      <c r="B11" s="69" t="s">
        <v>95</v>
      </c>
      <c r="C11" s="69" t="s">
        <v>86</v>
      </c>
      <c r="D11" s="69" t="s">
        <v>96</v>
      </c>
      <c r="E11" s="68" t="s">
        <v>97</v>
      </c>
      <c r="F11" s="68" t="s">
        <v>55</v>
      </c>
      <c r="G11" s="69" t="s">
        <v>98</v>
      </c>
      <c r="H11" s="69" t="s">
        <v>99</v>
      </c>
    </row>
    <row r="12" ht="18.0" customHeight="1">
      <c r="A12" s="68" t="s">
        <v>100</v>
      </c>
      <c r="B12" s="69" t="s">
        <v>101</v>
      </c>
      <c r="C12" s="69" t="s">
        <v>86</v>
      </c>
      <c r="D12" s="69" t="s">
        <v>102</v>
      </c>
      <c r="E12" s="68" t="s">
        <v>88</v>
      </c>
      <c r="F12" s="68" t="s">
        <v>55</v>
      </c>
      <c r="G12" s="69" t="s">
        <v>103</v>
      </c>
      <c r="H12" s="69" t="s">
        <v>104</v>
      </c>
    </row>
    <row r="13" ht="18.0" customHeight="1">
      <c r="A13" s="62" t="s">
        <v>29</v>
      </c>
      <c r="B13" s="63" t="s">
        <v>30</v>
      </c>
      <c r="C13" s="63" t="s">
        <v>52</v>
      </c>
      <c r="D13" s="63" t="s">
        <v>105</v>
      </c>
      <c r="E13" s="62" t="s">
        <v>66</v>
      </c>
      <c r="F13" s="62" t="s">
        <v>55</v>
      </c>
      <c r="G13" s="63" t="s">
        <v>106</v>
      </c>
      <c r="H13" s="63" t="s">
        <v>107</v>
      </c>
    </row>
    <row r="14" ht="18.0" customHeight="1">
      <c r="A14" s="68" t="s">
        <v>33</v>
      </c>
      <c r="B14" s="69" t="s">
        <v>34</v>
      </c>
      <c r="C14" s="69" t="s">
        <v>86</v>
      </c>
      <c r="D14" s="69" t="s">
        <v>108</v>
      </c>
      <c r="E14" s="68" t="s">
        <v>97</v>
      </c>
      <c r="F14" s="68" t="s">
        <v>55</v>
      </c>
      <c r="G14" s="69" t="s">
        <v>109</v>
      </c>
      <c r="H14" s="69" t="s">
        <v>110</v>
      </c>
    </row>
    <row r="15" ht="18.0" customHeight="1">
      <c r="A15" s="62" t="s">
        <v>38</v>
      </c>
      <c r="B15" s="63" t="s">
        <v>39</v>
      </c>
      <c r="C15" s="63" t="s">
        <v>52</v>
      </c>
      <c r="D15" s="63" t="s">
        <v>111</v>
      </c>
      <c r="E15" s="62" t="s">
        <v>66</v>
      </c>
      <c r="F15" s="62" t="s">
        <v>55</v>
      </c>
      <c r="G15" s="63" t="s">
        <v>112</v>
      </c>
      <c r="H15" s="63" t="s">
        <v>57</v>
      </c>
    </row>
    <row r="16" ht="18.0" customHeight="1">
      <c r="A16" s="62" t="s">
        <v>113</v>
      </c>
      <c r="B16" s="63" t="s">
        <v>114</v>
      </c>
      <c r="C16" s="63" t="s">
        <v>52</v>
      </c>
      <c r="D16" s="63" t="s">
        <v>115</v>
      </c>
      <c r="E16" s="62" t="s">
        <v>116</v>
      </c>
      <c r="F16" s="62" t="s">
        <v>55</v>
      </c>
      <c r="G16" s="63" t="s">
        <v>117</v>
      </c>
      <c r="H16" s="63" t="s">
        <v>118</v>
      </c>
    </row>
    <row r="17" ht="18.0" customHeight="1">
      <c r="A17" s="62" t="s">
        <v>119</v>
      </c>
      <c r="B17" s="63" t="s">
        <v>120</v>
      </c>
      <c r="C17" s="63" t="s">
        <v>52</v>
      </c>
      <c r="D17" s="63" t="s">
        <v>121</v>
      </c>
      <c r="E17" s="62" t="s">
        <v>116</v>
      </c>
      <c r="F17" s="62" t="s">
        <v>67</v>
      </c>
      <c r="G17" s="63" t="s">
        <v>122</v>
      </c>
      <c r="H17" s="63" t="s">
        <v>123</v>
      </c>
    </row>
    <row r="18" ht="18.0" customHeight="1">
      <c r="A18" s="64" t="s">
        <v>124</v>
      </c>
      <c r="B18" s="65" t="s">
        <v>125</v>
      </c>
      <c r="C18" s="65" t="s">
        <v>52</v>
      </c>
      <c r="D18" s="65" t="s">
        <v>126</v>
      </c>
      <c r="E18" s="64" t="s">
        <v>73</v>
      </c>
      <c r="F18" s="64" t="s">
        <v>67</v>
      </c>
      <c r="G18" s="65" t="s">
        <v>127</v>
      </c>
      <c r="H18" s="65" t="s">
        <v>128</v>
      </c>
    </row>
    <row r="19" ht="18.0" customHeight="1">
      <c r="A19" s="60" t="s">
        <v>129</v>
      </c>
      <c r="B19" s="61" t="s">
        <v>130</v>
      </c>
      <c r="C19" s="61" t="s">
        <v>52</v>
      </c>
      <c r="D19" s="61" t="s">
        <v>131</v>
      </c>
      <c r="E19" s="60" t="s">
        <v>132</v>
      </c>
      <c r="F19" s="60" t="s">
        <v>55</v>
      </c>
      <c r="G19" s="61" t="s">
        <v>133</v>
      </c>
      <c r="H19" s="61" t="s">
        <v>134</v>
      </c>
    </row>
    <row r="20" ht="18.0" customHeight="1">
      <c r="A20" s="62" t="s">
        <v>135</v>
      </c>
      <c r="B20" s="63" t="s">
        <v>136</v>
      </c>
      <c r="C20" s="63" t="s">
        <v>52</v>
      </c>
      <c r="D20" s="63" t="s">
        <v>137</v>
      </c>
      <c r="E20" s="62" t="s">
        <v>66</v>
      </c>
      <c r="F20" s="62" t="s">
        <v>67</v>
      </c>
      <c r="G20" s="63" t="s">
        <v>138</v>
      </c>
      <c r="H20" s="63" t="s">
        <v>139</v>
      </c>
    </row>
    <row r="21" ht="18.0" customHeight="1">
      <c r="A21" s="64" t="s">
        <v>140</v>
      </c>
      <c r="B21" s="65" t="s">
        <v>141</v>
      </c>
      <c r="C21" s="65" t="s">
        <v>52</v>
      </c>
      <c r="D21" s="65" t="s">
        <v>142</v>
      </c>
      <c r="E21" s="64" t="s">
        <v>73</v>
      </c>
      <c r="F21" s="64" t="s">
        <v>55</v>
      </c>
      <c r="G21" s="65" t="s">
        <v>143</v>
      </c>
      <c r="H21" s="65" t="s">
        <v>144</v>
      </c>
    </row>
    <row r="22" ht="18.0" customHeight="1">
      <c r="A22" s="62" t="s">
        <v>145</v>
      </c>
      <c r="B22" s="63" t="s">
        <v>120</v>
      </c>
      <c r="C22" s="63" t="s">
        <v>52</v>
      </c>
      <c r="D22" s="63" t="s">
        <v>146</v>
      </c>
      <c r="E22" s="62" t="s">
        <v>66</v>
      </c>
      <c r="F22" s="62" t="s">
        <v>55</v>
      </c>
      <c r="G22" s="63" t="s">
        <v>147</v>
      </c>
      <c r="H22" s="63" t="s">
        <v>148</v>
      </c>
    </row>
    <row r="23" ht="18.0" customHeight="1">
      <c r="A23" s="66" t="s">
        <v>149</v>
      </c>
      <c r="B23" s="67" t="s">
        <v>150</v>
      </c>
      <c r="C23" s="67" t="s">
        <v>151</v>
      </c>
      <c r="D23" s="67" t="s">
        <v>152</v>
      </c>
      <c r="E23" s="66" t="s">
        <v>153</v>
      </c>
      <c r="F23" s="66" t="s">
        <v>55</v>
      </c>
      <c r="G23" s="67" t="s">
        <v>154</v>
      </c>
      <c r="H23" s="67" t="s">
        <v>155</v>
      </c>
    </row>
    <row r="24" ht="18.0" customHeight="1">
      <c r="A24" s="68" t="s">
        <v>156</v>
      </c>
      <c r="B24" s="69" t="s">
        <v>157</v>
      </c>
      <c r="C24" s="69" t="s">
        <v>86</v>
      </c>
      <c r="D24" s="69" t="s">
        <v>158</v>
      </c>
      <c r="E24" s="68" t="s">
        <v>159</v>
      </c>
      <c r="F24" s="68" t="s">
        <v>55</v>
      </c>
      <c r="G24" s="69" t="s">
        <v>160</v>
      </c>
      <c r="H24" s="69" t="s">
        <v>161</v>
      </c>
    </row>
    <row r="25" ht="18.0" customHeight="1">
      <c r="A25" s="64" t="s">
        <v>162</v>
      </c>
      <c r="B25" s="65" t="s">
        <v>163</v>
      </c>
      <c r="C25" s="65" t="s">
        <v>52</v>
      </c>
      <c r="D25" s="65" t="s">
        <v>164</v>
      </c>
      <c r="E25" s="64" t="s">
        <v>73</v>
      </c>
      <c r="F25" s="64" t="s">
        <v>67</v>
      </c>
      <c r="G25" s="65" t="s">
        <v>165</v>
      </c>
      <c r="H25" s="65"/>
    </row>
    <row r="26" ht="18.0" customHeight="1">
      <c r="A26" s="60" t="s">
        <v>166</v>
      </c>
      <c r="B26" s="61" t="s">
        <v>167</v>
      </c>
      <c r="C26" s="61" t="s">
        <v>52</v>
      </c>
      <c r="D26" s="61" t="s">
        <v>168</v>
      </c>
      <c r="E26" s="60" t="s">
        <v>132</v>
      </c>
      <c r="F26" s="60" t="s">
        <v>55</v>
      </c>
      <c r="G26" s="61" t="s">
        <v>169</v>
      </c>
      <c r="H26" s="61" t="s">
        <v>170</v>
      </c>
    </row>
    <row r="27" ht="18.0" customHeight="1">
      <c r="A27" s="68" t="s">
        <v>171</v>
      </c>
      <c r="B27" s="69" t="s">
        <v>172</v>
      </c>
      <c r="C27" s="69" t="s">
        <v>86</v>
      </c>
      <c r="D27" s="69" t="s">
        <v>173</v>
      </c>
      <c r="E27" s="68" t="s">
        <v>97</v>
      </c>
      <c r="F27" s="68" t="s">
        <v>55</v>
      </c>
      <c r="G27" s="69" t="s">
        <v>174</v>
      </c>
      <c r="H27" s="69" t="s">
        <v>175</v>
      </c>
    </row>
    <row r="28" ht="18.0" customHeight="1">
      <c r="A28" s="60" t="s">
        <v>176</v>
      </c>
      <c r="B28" s="61" t="s">
        <v>177</v>
      </c>
      <c r="C28" s="61" t="s">
        <v>52</v>
      </c>
      <c r="D28" s="61" t="s">
        <v>178</v>
      </c>
      <c r="E28" s="60" t="s">
        <v>132</v>
      </c>
      <c r="F28" s="60" t="s">
        <v>55</v>
      </c>
      <c r="G28" s="61" t="s">
        <v>179</v>
      </c>
      <c r="H28" s="61" t="s">
        <v>180</v>
      </c>
    </row>
    <row r="29" ht="18.0" customHeight="1">
      <c r="A29" s="60" t="s">
        <v>181</v>
      </c>
      <c r="B29" s="61" t="s">
        <v>182</v>
      </c>
      <c r="C29" s="61" t="s">
        <v>52</v>
      </c>
      <c r="D29" s="61" t="s">
        <v>183</v>
      </c>
      <c r="E29" s="60" t="s">
        <v>54</v>
      </c>
      <c r="F29" s="60" t="s">
        <v>67</v>
      </c>
      <c r="G29" s="61" t="s">
        <v>184</v>
      </c>
      <c r="H29" s="61" t="s">
        <v>185</v>
      </c>
    </row>
    <row r="30" ht="18.0" customHeight="1">
      <c r="A30" s="70" t="s">
        <v>186</v>
      </c>
      <c r="B30" s="71" t="s">
        <v>187</v>
      </c>
      <c r="C30" s="71" t="s">
        <v>86</v>
      </c>
      <c r="D30" s="71" t="s">
        <v>188</v>
      </c>
      <c r="E30" s="70" t="s">
        <v>189</v>
      </c>
      <c r="F30" s="70" t="s">
        <v>67</v>
      </c>
      <c r="G30" s="71" t="s">
        <v>188</v>
      </c>
      <c r="H30" s="71" t="s">
        <v>190</v>
      </c>
    </row>
    <row r="31" ht="18.0" customHeight="1">
      <c r="A31" s="70" t="s">
        <v>191</v>
      </c>
      <c r="B31" s="71" t="s">
        <v>192</v>
      </c>
      <c r="C31" s="71" t="s">
        <v>86</v>
      </c>
      <c r="D31" s="71" t="s">
        <v>193</v>
      </c>
      <c r="E31" s="70" t="s">
        <v>189</v>
      </c>
      <c r="F31" s="70" t="s">
        <v>67</v>
      </c>
      <c r="G31" s="71" t="s">
        <v>194</v>
      </c>
      <c r="H31" s="71" t="s">
        <v>195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92" width="3.0"/>
  </cols>
  <sheetData>
    <row r="1" ht="24.0" customHeight="1">
      <c r="A1" s="58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3"/>
    </row>
    <row r="2" ht="13.5" customHeight="1">
      <c r="A2" s="5"/>
      <c r="B2" s="5"/>
      <c r="C2" s="72" t="s">
        <v>2</v>
      </c>
      <c r="D2" s="72"/>
      <c r="E2" s="72"/>
      <c r="F2" s="72"/>
      <c r="G2" s="72"/>
      <c r="H2" s="72"/>
      <c r="I2" s="73" t="s">
        <v>3</v>
      </c>
      <c r="J2" s="73"/>
      <c r="K2" s="74" t="s">
        <v>4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5" t="s">
        <v>5</v>
      </c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6" t="s">
        <v>6</v>
      </c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7" t="s">
        <v>7</v>
      </c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8" t="s">
        <v>8</v>
      </c>
      <c r="CI2" s="78"/>
      <c r="CJ2" s="78"/>
      <c r="CK2" s="78"/>
      <c r="CL2" s="78"/>
      <c r="CM2" s="78"/>
      <c r="CN2" s="78"/>
    </row>
    <row r="3" ht="30.0" customHeight="1">
      <c r="A3" s="21" t="s">
        <v>11</v>
      </c>
      <c r="B3" s="21" t="s">
        <v>197</v>
      </c>
      <c r="C3" s="79">
        <v>1.0</v>
      </c>
      <c r="D3" s="79">
        <v>2.0</v>
      </c>
      <c r="E3" s="79">
        <v>3.0</v>
      </c>
      <c r="F3" s="79">
        <v>4.0</v>
      </c>
      <c r="G3" s="79">
        <v>5.0</v>
      </c>
      <c r="H3" s="79">
        <v>6.0</v>
      </c>
      <c r="I3" s="80">
        <v>7.0</v>
      </c>
      <c r="J3" s="80">
        <v>8.0</v>
      </c>
      <c r="K3" s="81">
        <v>9.0</v>
      </c>
      <c r="L3" s="81">
        <v>10.0</v>
      </c>
      <c r="M3" s="81">
        <v>11.0</v>
      </c>
      <c r="N3" s="81">
        <v>12.0</v>
      </c>
      <c r="O3" s="81">
        <v>13.0</v>
      </c>
      <c r="P3" s="81">
        <v>14.0</v>
      </c>
      <c r="Q3" s="81">
        <v>15.0</v>
      </c>
      <c r="R3" s="81">
        <v>16.0</v>
      </c>
      <c r="S3" s="81">
        <v>17.0</v>
      </c>
      <c r="T3" s="81">
        <v>18.0</v>
      </c>
      <c r="U3" s="81">
        <v>19.0</v>
      </c>
      <c r="V3" s="81">
        <v>20.0</v>
      </c>
      <c r="W3" s="82">
        <v>21.0</v>
      </c>
      <c r="X3" s="82">
        <v>22.0</v>
      </c>
      <c r="Y3" s="82">
        <v>23.0</v>
      </c>
      <c r="Z3" s="82">
        <v>24.0</v>
      </c>
      <c r="AA3" s="82">
        <v>25.0</v>
      </c>
      <c r="AB3" s="82">
        <v>26.0</v>
      </c>
      <c r="AC3" s="82">
        <v>27.0</v>
      </c>
      <c r="AD3" s="82">
        <v>28.0</v>
      </c>
      <c r="AE3" s="82">
        <v>29.0</v>
      </c>
      <c r="AF3" s="82">
        <v>30.0</v>
      </c>
      <c r="AG3" s="82">
        <v>31.0</v>
      </c>
      <c r="AH3" s="83">
        <v>32.0</v>
      </c>
      <c r="AI3" s="83">
        <v>33.0</v>
      </c>
      <c r="AJ3" s="83">
        <v>34.0</v>
      </c>
      <c r="AK3" s="83">
        <v>35.0</v>
      </c>
      <c r="AL3" s="83">
        <v>36.0</v>
      </c>
      <c r="AM3" s="83">
        <v>37.0</v>
      </c>
      <c r="AN3" s="83">
        <v>38.0</v>
      </c>
      <c r="AO3" s="83">
        <v>39.0</v>
      </c>
      <c r="AP3" s="83">
        <v>40.0</v>
      </c>
      <c r="AQ3" s="83">
        <v>41.0</v>
      </c>
      <c r="AR3" s="83">
        <v>42.0</v>
      </c>
      <c r="AS3" s="83">
        <v>43.0</v>
      </c>
      <c r="AT3" s="83">
        <v>44.0</v>
      </c>
      <c r="AU3" s="83">
        <v>45.0</v>
      </c>
      <c r="AV3" s="83">
        <v>46.0</v>
      </c>
      <c r="AW3" s="83">
        <v>47.0</v>
      </c>
      <c r="AX3" s="83">
        <v>48.0</v>
      </c>
      <c r="AY3" s="83">
        <v>49.0</v>
      </c>
      <c r="AZ3" s="83">
        <v>50.0</v>
      </c>
      <c r="BA3" s="83">
        <v>51.0</v>
      </c>
      <c r="BB3" s="83">
        <v>52.0</v>
      </c>
      <c r="BC3" s="83">
        <v>53.0</v>
      </c>
      <c r="BD3" s="83">
        <v>54.0</v>
      </c>
      <c r="BE3" s="83">
        <v>55.0</v>
      </c>
      <c r="BF3" s="83">
        <v>56.0</v>
      </c>
      <c r="BG3" s="83">
        <v>57.0</v>
      </c>
      <c r="BH3" s="83">
        <v>58.0</v>
      </c>
      <c r="BI3" s="83">
        <v>59.0</v>
      </c>
      <c r="BJ3" s="83">
        <v>60.0</v>
      </c>
      <c r="BK3" s="83">
        <v>61.0</v>
      </c>
      <c r="BL3" s="83">
        <v>62.0</v>
      </c>
      <c r="BM3" s="83">
        <v>63.0</v>
      </c>
      <c r="BN3" s="83">
        <v>64.0</v>
      </c>
      <c r="BO3" s="83">
        <v>65.0</v>
      </c>
      <c r="BP3" s="83">
        <v>66.0</v>
      </c>
      <c r="BQ3" s="83">
        <v>67.0</v>
      </c>
      <c r="BR3" s="84">
        <v>68.0</v>
      </c>
      <c r="BS3" s="84">
        <v>69.0</v>
      </c>
      <c r="BT3" s="84">
        <v>70.0</v>
      </c>
      <c r="BU3" s="84">
        <v>71.0</v>
      </c>
      <c r="BV3" s="84">
        <v>72.0</v>
      </c>
      <c r="BW3" s="84">
        <v>73.0</v>
      </c>
      <c r="BX3" s="84">
        <v>74.0</v>
      </c>
      <c r="BY3" s="84">
        <v>75.0</v>
      </c>
      <c r="BZ3" s="84">
        <v>76.0</v>
      </c>
      <c r="CA3" s="84">
        <v>77.0</v>
      </c>
      <c r="CB3" s="84">
        <v>78.0</v>
      </c>
      <c r="CC3" s="84">
        <v>79.0</v>
      </c>
      <c r="CD3" s="84">
        <v>80.0</v>
      </c>
      <c r="CE3" s="84">
        <v>81.0</v>
      </c>
      <c r="CF3" s="84">
        <v>82.0</v>
      </c>
      <c r="CG3" s="84">
        <v>83.0</v>
      </c>
      <c r="CH3" s="85">
        <v>84.0</v>
      </c>
      <c r="CI3" s="85">
        <v>85.0</v>
      </c>
      <c r="CJ3" s="85">
        <v>86.0</v>
      </c>
      <c r="CK3" s="85">
        <v>87.0</v>
      </c>
      <c r="CL3" s="85">
        <v>88.0</v>
      </c>
      <c r="CM3" s="85">
        <v>89.0</v>
      </c>
      <c r="CN3" s="85">
        <v>90.0</v>
      </c>
    </row>
    <row r="4" ht="13.5" customHeight="1">
      <c r="A4" s="86">
        <v>1984.0</v>
      </c>
      <c r="B4" s="87">
        <f>COUNTIF(Overwash_Matrix!$C:$C,1984)</f>
        <v>1</v>
      </c>
      <c r="C4" s="57">
        <f>IF(COUNTIF(Overwash_Matrix!$C:$C,1984)=0,"",COUNTIFS(Overwash_Matrix!$C:$C,1984,Overwash_Matrix!I:I,1))</f>
        <v>0</v>
      </c>
      <c r="D4" s="57">
        <f>IF(COUNTIF(Overwash_Matrix!$C:$C,1984)=0,"",COUNTIFS(Overwash_Matrix!$C:$C,1984,Overwash_Matrix!J:J,1))</f>
        <v>0</v>
      </c>
      <c r="E4" s="57">
        <f>IF(COUNTIF(Overwash_Matrix!$C:$C,1984)=0,"",COUNTIFS(Overwash_Matrix!$C:$C,1984,Overwash_Matrix!K:K,1))</f>
        <v>0</v>
      </c>
      <c r="F4" s="57">
        <f>IF(COUNTIF(Overwash_Matrix!$C:$C,1984)=0,"",COUNTIFS(Overwash_Matrix!$C:$C,1984,Overwash_Matrix!L:L,1))</f>
        <v>0</v>
      </c>
      <c r="G4" s="57">
        <f>IF(COUNTIF(Overwash_Matrix!$C:$C,1984)=0,"",COUNTIFS(Overwash_Matrix!$C:$C,1984,Overwash_Matrix!M:M,1))</f>
        <v>0</v>
      </c>
      <c r="H4" s="57">
        <f>IF(COUNTIF(Overwash_Matrix!$C:$C,1984)=0,"",COUNTIFS(Overwash_Matrix!$C:$C,1984,Overwash_Matrix!N:N,1))</f>
        <v>0</v>
      </c>
      <c r="I4" s="57">
        <f>IF(COUNTIF(Overwash_Matrix!$C:$C,1984)=0,"",COUNTIFS(Overwash_Matrix!$C:$C,1984,Overwash_Matrix!O:O,1))</f>
        <v>0</v>
      </c>
      <c r="J4" s="57">
        <f>IF(COUNTIF(Overwash_Matrix!$C:$C,1984)=0,"",COUNTIFS(Overwash_Matrix!$C:$C,1984,Overwash_Matrix!P:P,1))</f>
        <v>0</v>
      </c>
      <c r="K4" s="57">
        <f>IF(COUNTIF(Overwash_Matrix!$C:$C,1984)=0,"",COUNTIFS(Overwash_Matrix!$C:$C,1984,Overwash_Matrix!Q:Q,1))</f>
        <v>0</v>
      </c>
      <c r="L4" s="57">
        <f>IF(COUNTIF(Overwash_Matrix!$C:$C,1984)=0,"",COUNTIFS(Overwash_Matrix!$C:$C,1984,Overwash_Matrix!R:R,1))</f>
        <v>0</v>
      </c>
      <c r="M4" s="57">
        <f>IF(COUNTIF(Overwash_Matrix!$C:$C,1984)=0,"",COUNTIFS(Overwash_Matrix!$C:$C,1984,Overwash_Matrix!S:S,1))</f>
        <v>0</v>
      </c>
      <c r="N4" s="57">
        <f>IF(COUNTIF(Overwash_Matrix!$C:$C,1984)=0,"",COUNTIFS(Overwash_Matrix!$C:$C,1984,Overwash_Matrix!T:T,1))</f>
        <v>0</v>
      </c>
      <c r="O4" s="57">
        <f>IF(COUNTIF(Overwash_Matrix!$C:$C,1984)=0,"",COUNTIFS(Overwash_Matrix!$C:$C,1984,Overwash_Matrix!U:U,1))</f>
        <v>0</v>
      </c>
      <c r="P4" s="57">
        <f>IF(COUNTIF(Overwash_Matrix!$C:$C,1984)=0,"",COUNTIFS(Overwash_Matrix!$C:$C,1984,Overwash_Matrix!V:V,1))</f>
        <v>0</v>
      </c>
      <c r="Q4" s="57">
        <f>IF(COUNTIF(Overwash_Matrix!$C:$C,1984)=0,"",COUNTIFS(Overwash_Matrix!$C:$C,1984,Overwash_Matrix!W:W,1))</f>
        <v>0</v>
      </c>
      <c r="R4" s="57">
        <f>IF(COUNTIF(Overwash_Matrix!$C:$C,1984)=0,"",COUNTIFS(Overwash_Matrix!$C:$C,1984,Overwash_Matrix!X:X,1))</f>
        <v>0</v>
      </c>
      <c r="S4" s="57">
        <f>IF(COUNTIF(Overwash_Matrix!$C:$C,1984)=0,"",COUNTIFS(Overwash_Matrix!$C:$C,1984,Overwash_Matrix!Y:Y,1))</f>
        <v>0</v>
      </c>
      <c r="T4" s="57">
        <f>IF(COUNTIF(Overwash_Matrix!$C:$C,1984)=0,"",COUNTIFS(Overwash_Matrix!$C:$C,1984,Overwash_Matrix!Z:Z,1))</f>
        <v>0</v>
      </c>
      <c r="U4" s="57">
        <f>IF(COUNTIF(Overwash_Matrix!$C:$C,1984)=0,"",COUNTIFS(Overwash_Matrix!$C:$C,1984,Overwash_Matrix!AA:AA,1))</f>
        <v>0</v>
      </c>
      <c r="V4" s="57">
        <f>IF(COUNTIF(Overwash_Matrix!$C:$C,1984)=0,"",COUNTIFS(Overwash_Matrix!$C:$C,1984,Overwash_Matrix!AB:AB,1))</f>
        <v>0</v>
      </c>
      <c r="W4" s="57">
        <f>IF(COUNTIF(Overwash_Matrix!$C:$C,1984)=0,"",COUNTIFS(Overwash_Matrix!$C:$C,1984,Overwash_Matrix!AC:AC,1))</f>
        <v>0</v>
      </c>
      <c r="X4" s="57">
        <f>IF(COUNTIF(Overwash_Matrix!$C:$C,1984)=0,"",COUNTIFS(Overwash_Matrix!$C:$C,1984,Overwash_Matrix!AD:AD,1))</f>
        <v>0</v>
      </c>
      <c r="Y4" s="57">
        <f>IF(COUNTIF(Overwash_Matrix!$C:$C,1984)=0,"",COUNTIFS(Overwash_Matrix!$C:$C,1984,Overwash_Matrix!AE:AE,1))</f>
        <v>0</v>
      </c>
      <c r="Z4" s="57">
        <f>IF(COUNTIF(Overwash_Matrix!$C:$C,1984)=0,"",COUNTIFS(Overwash_Matrix!$C:$C,1984,Overwash_Matrix!AF:AF,1))</f>
        <v>0</v>
      </c>
      <c r="AA4" s="57">
        <f>IF(COUNTIF(Overwash_Matrix!$C:$C,1984)=0,"",COUNTIFS(Overwash_Matrix!$C:$C,1984,Overwash_Matrix!AG:AG,1))</f>
        <v>0</v>
      </c>
      <c r="AB4" s="57">
        <f>IF(COUNTIF(Overwash_Matrix!$C:$C,1984)=0,"",COUNTIFS(Overwash_Matrix!$C:$C,1984,Overwash_Matrix!AH:AH,1))</f>
        <v>0</v>
      </c>
      <c r="AC4" s="57">
        <f>IF(COUNTIF(Overwash_Matrix!$C:$C,1984)=0,"",COUNTIFS(Overwash_Matrix!$C:$C,1984,Overwash_Matrix!AI:AI,1))</f>
        <v>0</v>
      </c>
      <c r="AD4" s="57">
        <f>IF(COUNTIF(Overwash_Matrix!$C:$C,1984)=0,"",COUNTIFS(Overwash_Matrix!$C:$C,1984,Overwash_Matrix!AJ:AJ,1))</f>
        <v>0</v>
      </c>
      <c r="AE4" s="57">
        <f>IF(COUNTIF(Overwash_Matrix!$C:$C,1984)=0,"",COUNTIFS(Overwash_Matrix!$C:$C,1984,Overwash_Matrix!AK:AK,1))</f>
        <v>0</v>
      </c>
      <c r="AF4" s="57">
        <f>IF(COUNTIF(Overwash_Matrix!$C:$C,1984)=0,"",COUNTIFS(Overwash_Matrix!$C:$C,1984,Overwash_Matrix!AL:AL,1))</f>
        <v>0</v>
      </c>
      <c r="AG4" s="57">
        <f>IF(COUNTIF(Overwash_Matrix!$C:$C,1984)=0,"",COUNTIFS(Overwash_Matrix!$C:$C,1984,Overwash_Matrix!AM:AM,1))</f>
        <v>0</v>
      </c>
      <c r="AH4" s="57">
        <f>IF(COUNTIF(Overwash_Matrix!$C:$C,1984)=0,"",COUNTIFS(Overwash_Matrix!$C:$C,1984,Overwash_Matrix!AN:AN,1))</f>
        <v>0</v>
      </c>
      <c r="AI4" s="57">
        <f>IF(COUNTIF(Overwash_Matrix!$C:$C,1984)=0,"",COUNTIFS(Overwash_Matrix!$C:$C,1984,Overwash_Matrix!AO:AO,1))</f>
        <v>0</v>
      </c>
      <c r="AJ4" s="57">
        <f>IF(COUNTIF(Overwash_Matrix!$C:$C,1984)=0,"",COUNTIFS(Overwash_Matrix!$C:$C,1984,Overwash_Matrix!AP:AP,1))</f>
        <v>0</v>
      </c>
      <c r="AK4" s="57">
        <f>IF(COUNTIF(Overwash_Matrix!$C:$C,1984)=0,"",COUNTIFS(Overwash_Matrix!$C:$C,1984,Overwash_Matrix!AQ:AQ,1))</f>
        <v>0</v>
      </c>
      <c r="AL4" s="57">
        <f>IF(COUNTIF(Overwash_Matrix!$C:$C,1984)=0,"",COUNTIFS(Overwash_Matrix!$C:$C,1984,Overwash_Matrix!AR:AR,1))</f>
        <v>0</v>
      </c>
      <c r="AM4" s="57">
        <f>IF(COUNTIF(Overwash_Matrix!$C:$C,1984)=0,"",COUNTIFS(Overwash_Matrix!$C:$C,1984,Overwash_Matrix!AS:AS,1))</f>
        <v>0</v>
      </c>
      <c r="AN4" s="57">
        <f>IF(COUNTIF(Overwash_Matrix!$C:$C,1984)=0,"",COUNTIFS(Overwash_Matrix!$C:$C,1984,Overwash_Matrix!AT:AT,1))</f>
        <v>0</v>
      </c>
      <c r="AO4" s="57">
        <f>IF(COUNTIF(Overwash_Matrix!$C:$C,1984)=0,"",COUNTIFS(Overwash_Matrix!$C:$C,1984,Overwash_Matrix!AU:AU,1))</f>
        <v>0</v>
      </c>
      <c r="AP4" s="57">
        <f>IF(COUNTIF(Overwash_Matrix!$C:$C,1984)=0,"",COUNTIFS(Overwash_Matrix!$C:$C,1984,Overwash_Matrix!AV:AV,1))</f>
        <v>0</v>
      </c>
      <c r="AQ4" s="57">
        <f>IF(COUNTIF(Overwash_Matrix!$C:$C,1984)=0,"",COUNTIFS(Overwash_Matrix!$C:$C,1984,Overwash_Matrix!AW:AW,1))</f>
        <v>0</v>
      </c>
      <c r="AR4" s="57">
        <f>IF(COUNTIF(Overwash_Matrix!$C:$C,1984)=0,"",COUNTIFS(Overwash_Matrix!$C:$C,1984,Overwash_Matrix!AX:AX,1))</f>
        <v>0</v>
      </c>
      <c r="AS4" s="57">
        <f>IF(COUNTIF(Overwash_Matrix!$C:$C,1984)=0,"",COUNTIFS(Overwash_Matrix!$C:$C,1984,Overwash_Matrix!AY:AY,1))</f>
        <v>0</v>
      </c>
      <c r="AT4" s="57">
        <f>IF(COUNTIF(Overwash_Matrix!$C:$C,1984)=0,"",COUNTIFS(Overwash_Matrix!$C:$C,1984,Overwash_Matrix!AZ:AZ,1))</f>
        <v>0</v>
      </c>
      <c r="AU4" s="57">
        <f>IF(COUNTIF(Overwash_Matrix!$C:$C,1984)=0,"",COUNTIFS(Overwash_Matrix!$C:$C,1984,Overwash_Matrix!BA:BA,1))</f>
        <v>0</v>
      </c>
      <c r="AV4" s="57">
        <f>IF(COUNTIF(Overwash_Matrix!$C:$C,1984)=0,"",COUNTIFS(Overwash_Matrix!$C:$C,1984,Overwash_Matrix!BB:BB,1))</f>
        <v>0</v>
      </c>
      <c r="AW4" s="57">
        <f>IF(COUNTIF(Overwash_Matrix!$C:$C,1984)=0,"",COUNTIFS(Overwash_Matrix!$C:$C,1984,Overwash_Matrix!BC:BC,1))</f>
        <v>0</v>
      </c>
      <c r="AX4" s="57">
        <f>IF(COUNTIF(Overwash_Matrix!$C:$C,1984)=0,"",COUNTIFS(Overwash_Matrix!$C:$C,1984,Overwash_Matrix!BD:BD,1))</f>
        <v>0</v>
      </c>
      <c r="AY4" s="57">
        <f>IF(COUNTIF(Overwash_Matrix!$C:$C,1984)=0,"",COUNTIFS(Overwash_Matrix!$C:$C,1984,Overwash_Matrix!BE:BE,1))</f>
        <v>0</v>
      </c>
      <c r="AZ4" s="57">
        <f>IF(COUNTIF(Overwash_Matrix!$C:$C,1984)=0,"",COUNTIFS(Overwash_Matrix!$C:$C,1984,Overwash_Matrix!BF:BF,1))</f>
        <v>0</v>
      </c>
      <c r="BA4" s="57">
        <f>IF(COUNTIF(Overwash_Matrix!$C:$C,1984)=0,"",COUNTIFS(Overwash_Matrix!$C:$C,1984,Overwash_Matrix!BG:BG,1))</f>
        <v>0</v>
      </c>
      <c r="BB4" s="57">
        <f>IF(COUNTIF(Overwash_Matrix!$C:$C,1984)=0,"",COUNTIFS(Overwash_Matrix!$C:$C,1984,Overwash_Matrix!BH:BH,1))</f>
        <v>0</v>
      </c>
      <c r="BC4" s="57">
        <f>IF(COUNTIF(Overwash_Matrix!$C:$C,1984)=0,"",COUNTIFS(Overwash_Matrix!$C:$C,1984,Overwash_Matrix!BI:BI,1))</f>
        <v>0</v>
      </c>
      <c r="BD4" s="57">
        <f>IF(COUNTIF(Overwash_Matrix!$C:$C,1984)=0,"",COUNTIFS(Overwash_Matrix!$C:$C,1984,Overwash_Matrix!BJ:BJ,1))</f>
        <v>0</v>
      </c>
      <c r="BE4" s="57">
        <f>IF(COUNTIF(Overwash_Matrix!$C:$C,1984)=0,"",COUNTIFS(Overwash_Matrix!$C:$C,1984,Overwash_Matrix!BK:BK,1))</f>
        <v>0</v>
      </c>
      <c r="BF4" s="57">
        <f>IF(COUNTIF(Overwash_Matrix!$C:$C,1984)=0,"",COUNTIFS(Overwash_Matrix!$C:$C,1984,Overwash_Matrix!BL:BL,1))</f>
        <v>0</v>
      </c>
      <c r="BG4" s="57">
        <f>IF(COUNTIF(Overwash_Matrix!$C:$C,1984)=0,"",COUNTIFS(Overwash_Matrix!$C:$C,1984,Overwash_Matrix!BM:BM,1))</f>
        <v>0</v>
      </c>
      <c r="BH4" s="57">
        <f>IF(COUNTIF(Overwash_Matrix!$C:$C,1984)=0,"",COUNTIFS(Overwash_Matrix!$C:$C,1984,Overwash_Matrix!BN:BN,1))</f>
        <v>0</v>
      </c>
      <c r="BI4" s="57">
        <f>IF(COUNTIF(Overwash_Matrix!$C:$C,1984)=0,"",COUNTIFS(Overwash_Matrix!$C:$C,1984,Overwash_Matrix!BO:BO,1))</f>
        <v>0</v>
      </c>
      <c r="BJ4" s="57">
        <f>IF(COUNTIF(Overwash_Matrix!$C:$C,1984)=0,"",COUNTIFS(Overwash_Matrix!$C:$C,1984,Overwash_Matrix!BP:BP,1))</f>
        <v>0</v>
      </c>
      <c r="BK4" s="57">
        <f>IF(COUNTIF(Overwash_Matrix!$C:$C,1984)=0,"",COUNTIFS(Overwash_Matrix!$C:$C,1984,Overwash_Matrix!BQ:BQ,1))</f>
        <v>0</v>
      </c>
      <c r="BL4" s="57">
        <f>IF(COUNTIF(Overwash_Matrix!$C:$C,1984)=0,"",COUNTIFS(Overwash_Matrix!$C:$C,1984,Overwash_Matrix!BR:BR,1))</f>
        <v>0</v>
      </c>
      <c r="BM4" s="57">
        <f>IF(COUNTIF(Overwash_Matrix!$C:$C,1984)=0,"",COUNTIFS(Overwash_Matrix!$C:$C,1984,Overwash_Matrix!BS:BS,1))</f>
        <v>0</v>
      </c>
      <c r="BN4" s="57">
        <f>IF(COUNTIF(Overwash_Matrix!$C:$C,1984)=0,"",COUNTIFS(Overwash_Matrix!$C:$C,1984,Overwash_Matrix!BT:BT,1))</f>
        <v>0</v>
      </c>
      <c r="BO4" s="57">
        <f>IF(COUNTIF(Overwash_Matrix!$C:$C,1984)=0,"",COUNTIFS(Overwash_Matrix!$C:$C,1984,Overwash_Matrix!BU:BU,1))</f>
        <v>0</v>
      </c>
      <c r="BP4" s="57">
        <f>IF(COUNTIF(Overwash_Matrix!$C:$C,1984)=0,"",COUNTIFS(Overwash_Matrix!$C:$C,1984,Overwash_Matrix!BV:BV,1))</f>
        <v>0</v>
      </c>
      <c r="BQ4" s="57">
        <f>IF(COUNTIF(Overwash_Matrix!$C:$C,1984)=0,"",COUNTIFS(Overwash_Matrix!$C:$C,1984,Overwash_Matrix!BW:BW,1))</f>
        <v>0</v>
      </c>
      <c r="BR4" s="57">
        <f>IF(COUNTIF(Overwash_Matrix!$C:$C,1984)=0,"",COUNTIFS(Overwash_Matrix!$C:$C,1984,Overwash_Matrix!BX:BX,1))</f>
        <v>0</v>
      </c>
      <c r="BS4" s="57">
        <f>IF(COUNTIF(Overwash_Matrix!$C:$C,1984)=0,"",COUNTIFS(Overwash_Matrix!$C:$C,1984,Overwash_Matrix!BY:BY,1))</f>
        <v>0</v>
      </c>
      <c r="BT4" s="57">
        <f>IF(COUNTIF(Overwash_Matrix!$C:$C,1984)=0,"",COUNTIFS(Overwash_Matrix!$C:$C,1984,Overwash_Matrix!BZ:BZ,1))</f>
        <v>0</v>
      </c>
      <c r="BU4" s="57">
        <f>IF(COUNTIF(Overwash_Matrix!$C:$C,1984)=0,"",COUNTIFS(Overwash_Matrix!$C:$C,1984,Overwash_Matrix!CA:CA,1))</f>
        <v>0</v>
      </c>
      <c r="BV4" s="57">
        <f>IF(COUNTIF(Overwash_Matrix!$C:$C,1984)=0,"",COUNTIFS(Overwash_Matrix!$C:$C,1984,Overwash_Matrix!CB:CB,1))</f>
        <v>0</v>
      </c>
      <c r="BW4" s="57">
        <f>IF(COUNTIF(Overwash_Matrix!$C:$C,1984)=0,"",COUNTIFS(Overwash_Matrix!$C:$C,1984,Overwash_Matrix!CC:CC,1))</f>
        <v>0</v>
      </c>
      <c r="BX4" s="57">
        <f>IF(COUNTIF(Overwash_Matrix!$C:$C,1984)=0,"",COUNTIFS(Overwash_Matrix!$C:$C,1984,Overwash_Matrix!CD:CD,1))</f>
        <v>0</v>
      </c>
      <c r="BY4" s="57">
        <f>IF(COUNTIF(Overwash_Matrix!$C:$C,1984)=0,"",COUNTIFS(Overwash_Matrix!$C:$C,1984,Overwash_Matrix!CE:CE,1))</f>
        <v>0</v>
      </c>
      <c r="BZ4" s="57">
        <f>IF(COUNTIF(Overwash_Matrix!$C:$C,1984)=0,"",COUNTIFS(Overwash_Matrix!$C:$C,1984,Overwash_Matrix!CF:CF,1))</f>
        <v>0</v>
      </c>
      <c r="CA4" s="57">
        <f>IF(COUNTIF(Overwash_Matrix!$C:$C,1984)=0,"",COUNTIFS(Overwash_Matrix!$C:$C,1984,Overwash_Matrix!CG:CG,1))</f>
        <v>0</v>
      </c>
      <c r="CB4" s="57">
        <f>IF(COUNTIF(Overwash_Matrix!$C:$C,1984)=0,"",COUNTIFS(Overwash_Matrix!$C:$C,1984,Overwash_Matrix!CH:CH,1))</f>
        <v>0</v>
      </c>
      <c r="CC4" s="57">
        <f>IF(COUNTIF(Overwash_Matrix!$C:$C,1984)=0,"",COUNTIFS(Overwash_Matrix!$C:$C,1984,Overwash_Matrix!CI:CI,1))</f>
        <v>0</v>
      </c>
      <c r="CD4" s="57">
        <f>IF(COUNTIF(Overwash_Matrix!$C:$C,1984)=0,"",COUNTIFS(Overwash_Matrix!$C:$C,1984,Overwash_Matrix!CJ:CJ,1))</f>
        <v>0</v>
      </c>
      <c r="CE4" s="57">
        <f>IF(COUNTIF(Overwash_Matrix!$C:$C,1984)=0,"",COUNTIFS(Overwash_Matrix!$C:$C,1984,Overwash_Matrix!CK:CK,1))</f>
        <v>0</v>
      </c>
      <c r="CF4" s="57">
        <f>IF(COUNTIF(Overwash_Matrix!$C:$C,1984)=0,"",COUNTIFS(Overwash_Matrix!$C:$C,1984,Overwash_Matrix!CL:CL,1))</f>
        <v>0</v>
      </c>
      <c r="CG4" s="57">
        <f>IF(COUNTIF(Overwash_Matrix!$C:$C,1984)=0,"",COUNTIFS(Overwash_Matrix!$C:$C,1984,Overwash_Matrix!CM:CM,1))</f>
        <v>0</v>
      </c>
      <c r="CH4" s="57">
        <f>IF(COUNTIF(Overwash_Matrix!$C:$C,1984)=0,"",COUNTIFS(Overwash_Matrix!$C:$C,1984,Overwash_Matrix!CN:CN,1))</f>
        <v>1</v>
      </c>
      <c r="CI4" s="57">
        <f>IF(COUNTIF(Overwash_Matrix!$C:$C,1984)=0,"",COUNTIFS(Overwash_Matrix!$C:$C,1984,Overwash_Matrix!CO:CO,1))</f>
        <v>1</v>
      </c>
      <c r="CJ4" s="57">
        <f>IF(COUNTIF(Overwash_Matrix!$C:$C,1984)=0,"",COUNTIFS(Overwash_Matrix!$C:$C,1984,Overwash_Matrix!CP:CP,1))</f>
        <v>1</v>
      </c>
      <c r="CK4" s="57">
        <f>IF(COUNTIF(Overwash_Matrix!$C:$C,1984)=0,"",COUNTIFS(Overwash_Matrix!$C:$C,1984,Overwash_Matrix!CQ:CQ,1))</f>
        <v>0</v>
      </c>
      <c r="CL4" s="57">
        <f>IF(COUNTIF(Overwash_Matrix!$C:$C,1984)=0,"",COUNTIFS(Overwash_Matrix!$C:$C,1984,Overwash_Matrix!CR:CR,1))</f>
        <v>0</v>
      </c>
      <c r="CM4" s="57">
        <f>IF(COUNTIF(Overwash_Matrix!$C:$C,1984)=0,"",COUNTIFS(Overwash_Matrix!$C:$C,1984,Overwash_Matrix!CS:CS,1))</f>
        <v>0</v>
      </c>
      <c r="CN4" s="57">
        <f>IF(COUNTIF(Overwash_Matrix!$C:$C,1984)=0,"",COUNTIFS(Overwash_Matrix!$C:$C,1984,Overwash_Matrix!CT:CT,1))</f>
        <v>0</v>
      </c>
    </row>
    <row r="5" ht="13.5" customHeight="1">
      <c r="A5" s="88">
        <v>1985.0</v>
      </c>
      <c r="B5" s="89">
        <f>COUNTIF(Overwash_Matrix!$C:$C,1985)</f>
        <v>1</v>
      </c>
      <c r="C5" s="53">
        <f>IF(COUNTIF(Overwash_Matrix!$C:$C,1985)=0,"",COUNTIFS(Overwash_Matrix!$C:$C,1985,Overwash_Matrix!I:I,1))</f>
        <v>0</v>
      </c>
      <c r="D5" s="53">
        <f>IF(COUNTIF(Overwash_Matrix!$C:$C,1985)=0,"",COUNTIFS(Overwash_Matrix!$C:$C,1985,Overwash_Matrix!J:J,1))</f>
        <v>0</v>
      </c>
      <c r="E5" s="53">
        <f>IF(COUNTIF(Overwash_Matrix!$C:$C,1985)=0,"",COUNTIFS(Overwash_Matrix!$C:$C,1985,Overwash_Matrix!K:K,1))</f>
        <v>0</v>
      </c>
      <c r="F5" s="53">
        <f>IF(COUNTIF(Overwash_Matrix!$C:$C,1985)=0,"",COUNTIFS(Overwash_Matrix!$C:$C,1985,Overwash_Matrix!L:L,1))</f>
        <v>0</v>
      </c>
      <c r="G5" s="53">
        <f>IF(COUNTIF(Overwash_Matrix!$C:$C,1985)=0,"",COUNTIFS(Overwash_Matrix!$C:$C,1985,Overwash_Matrix!M:M,1))</f>
        <v>0</v>
      </c>
      <c r="H5" s="53">
        <f>IF(COUNTIF(Overwash_Matrix!$C:$C,1985)=0,"",COUNTIFS(Overwash_Matrix!$C:$C,1985,Overwash_Matrix!N:N,1))</f>
        <v>0</v>
      </c>
      <c r="I5" s="53">
        <f>IF(COUNTIF(Overwash_Matrix!$C:$C,1985)=0,"",COUNTIFS(Overwash_Matrix!$C:$C,1985,Overwash_Matrix!O:O,1))</f>
        <v>0</v>
      </c>
      <c r="J5" s="53">
        <f>IF(COUNTIF(Overwash_Matrix!$C:$C,1985)=0,"",COUNTIFS(Overwash_Matrix!$C:$C,1985,Overwash_Matrix!P:P,1))</f>
        <v>0</v>
      </c>
      <c r="K5" s="53">
        <f>IF(COUNTIF(Overwash_Matrix!$C:$C,1985)=0,"",COUNTIFS(Overwash_Matrix!$C:$C,1985,Overwash_Matrix!Q:Q,1))</f>
        <v>0</v>
      </c>
      <c r="L5" s="53">
        <f>IF(COUNTIF(Overwash_Matrix!$C:$C,1985)=0,"",COUNTIFS(Overwash_Matrix!$C:$C,1985,Overwash_Matrix!R:R,1))</f>
        <v>0</v>
      </c>
      <c r="M5" s="53">
        <f>IF(COUNTIF(Overwash_Matrix!$C:$C,1985)=0,"",COUNTIFS(Overwash_Matrix!$C:$C,1985,Overwash_Matrix!S:S,1))</f>
        <v>0</v>
      </c>
      <c r="N5" s="53">
        <f>IF(COUNTIF(Overwash_Matrix!$C:$C,1985)=0,"",COUNTIFS(Overwash_Matrix!$C:$C,1985,Overwash_Matrix!T:T,1))</f>
        <v>0</v>
      </c>
      <c r="O5" s="53">
        <f>IF(COUNTIF(Overwash_Matrix!$C:$C,1985)=0,"",COUNTIFS(Overwash_Matrix!$C:$C,1985,Overwash_Matrix!U:U,1))</f>
        <v>0</v>
      </c>
      <c r="P5" s="53">
        <f>IF(COUNTIF(Overwash_Matrix!$C:$C,1985)=0,"",COUNTIFS(Overwash_Matrix!$C:$C,1985,Overwash_Matrix!V:V,1))</f>
        <v>0</v>
      </c>
      <c r="Q5" s="53">
        <f>IF(COUNTIF(Overwash_Matrix!$C:$C,1985)=0,"",COUNTIFS(Overwash_Matrix!$C:$C,1985,Overwash_Matrix!W:W,1))</f>
        <v>0</v>
      </c>
      <c r="R5" s="53">
        <f>IF(COUNTIF(Overwash_Matrix!$C:$C,1985)=0,"",COUNTIFS(Overwash_Matrix!$C:$C,1985,Overwash_Matrix!X:X,1))</f>
        <v>0</v>
      </c>
      <c r="S5" s="53">
        <f>IF(COUNTIF(Overwash_Matrix!$C:$C,1985)=0,"",COUNTIFS(Overwash_Matrix!$C:$C,1985,Overwash_Matrix!Y:Y,1))</f>
        <v>0</v>
      </c>
      <c r="T5" s="53">
        <f>IF(COUNTIF(Overwash_Matrix!$C:$C,1985)=0,"",COUNTIFS(Overwash_Matrix!$C:$C,1985,Overwash_Matrix!Z:Z,1))</f>
        <v>0</v>
      </c>
      <c r="U5" s="53">
        <f>IF(COUNTIF(Overwash_Matrix!$C:$C,1985)=0,"",COUNTIFS(Overwash_Matrix!$C:$C,1985,Overwash_Matrix!AA:AA,1))</f>
        <v>0</v>
      </c>
      <c r="V5" s="53">
        <f>IF(COUNTIF(Overwash_Matrix!$C:$C,1985)=0,"",COUNTIFS(Overwash_Matrix!$C:$C,1985,Overwash_Matrix!AB:AB,1))</f>
        <v>0</v>
      </c>
      <c r="W5" s="53">
        <f>IF(COUNTIF(Overwash_Matrix!$C:$C,1985)=0,"",COUNTIFS(Overwash_Matrix!$C:$C,1985,Overwash_Matrix!AC:AC,1))</f>
        <v>0</v>
      </c>
      <c r="X5" s="53">
        <f>IF(COUNTIF(Overwash_Matrix!$C:$C,1985)=0,"",COUNTIFS(Overwash_Matrix!$C:$C,1985,Overwash_Matrix!AD:AD,1))</f>
        <v>0</v>
      </c>
      <c r="Y5" s="53">
        <f>IF(COUNTIF(Overwash_Matrix!$C:$C,1985)=0,"",COUNTIFS(Overwash_Matrix!$C:$C,1985,Overwash_Matrix!AE:AE,1))</f>
        <v>0</v>
      </c>
      <c r="Z5" s="53">
        <f>IF(COUNTIF(Overwash_Matrix!$C:$C,1985)=0,"",COUNTIFS(Overwash_Matrix!$C:$C,1985,Overwash_Matrix!AF:AF,1))</f>
        <v>0</v>
      </c>
      <c r="AA5" s="53">
        <f>IF(COUNTIF(Overwash_Matrix!$C:$C,1985)=0,"",COUNTIFS(Overwash_Matrix!$C:$C,1985,Overwash_Matrix!AG:AG,1))</f>
        <v>0</v>
      </c>
      <c r="AB5" s="53">
        <f>IF(COUNTIF(Overwash_Matrix!$C:$C,1985)=0,"",COUNTIFS(Overwash_Matrix!$C:$C,1985,Overwash_Matrix!AH:AH,1))</f>
        <v>0</v>
      </c>
      <c r="AC5" s="53">
        <f>IF(COUNTIF(Overwash_Matrix!$C:$C,1985)=0,"",COUNTIFS(Overwash_Matrix!$C:$C,1985,Overwash_Matrix!AI:AI,1))</f>
        <v>0</v>
      </c>
      <c r="AD5" s="53">
        <f>IF(COUNTIF(Overwash_Matrix!$C:$C,1985)=0,"",COUNTIFS(Overwash_Matrix!$C:$C,1985,Overwash_Matrix!AJ:AJ,1))</f>
        <v>0</v>
      </c>
      <c r="AE5" s="53">
        <f>IF(COUNTIF(Overwash_Matrix!$C:$C,1985)=0,"",COUNTIFS(Overwash_Matrix!$C:$C,1985,Overwash_Matrix!AK:AK,1))</f>
        <v>0</v>
      </c>
      <c r="AF5" s="53">
        <f>IF(COUNTIF(Overwash_Matrix!$C:$C,1985)=0,"",COUNTIFS(Overwash_Matrix!$C:$C,1985,Overwash_Matrix!AL:AL,1))</f>
        <v>0</v>
      </c>
      <c r="AG5" s="53">
        <f>IF(COUNTIF(Overwash_Matrix!$C:$C,1985)=0,"",COUNTIFS(Overwash_Matrix!$C:$C,1985,Overwash_Matrix!AM:AM,1))</f>
        <v>0</v>
      </c>
      <c r="AH5" s="53">
        <f>IF(COUNTIF(Overwash_Matrix!$C:$C,1985)=0,"",COUNTIFS(Overwash_Matrix!$C:$C,1985,Overwash_Matrix!AN:AN,1))</f>
        <v>0</v>
      </c>
      <c r="AI5" s="53">
        <f>IF(COUNTIF(Overwash_Matrix!$C:$C,1985)=0,"",COUNTIFS(Overwash_Matrix!$C:$C,1985,Overwash_Matrix!AO:AO,1))</f>
        <v>0</v>
      </c>
      <c r="AJ5" s="53">
        <f>IF(COUNTIF(Overwash_Matrix!$C:$C,1985)=0,"",COUNTIFS(Overwash_Matrix!$C:$C,1985,Overwash_Matrix!AP:AP,1))</f>
        <v>0</v>
      </c>
      <c r="AK5" s="53">
        <f>IF(COUNTIF(Overwash_Matrix!$C:$C,1985)=0,"",COUNTIFS(Overwash_Matrix!$C:$C,1985,Overwash_Matrix!AQ:AQ,1))</f>
        <v>0</v>
      </c>
      <c r="AL5" s="53">
        <f>IF(COUNTIF(Overwash_Matrix!$C:$C,1985)=0,"",COUNTIFS(Overwash_Matrix!$C:$C,1985,Overwash_Matrix!AR:AR,1))</f>
        <v>0</v>
      </c>
      <c r="AM5" s="53">
        <f>IF(COUNTIF(Overwash_Matrix!$C:$C,1985)=0,"",COUNTIFS(Overwash_Matrix!$C:$C,1985,Overwash_Matrix!AS:AS,1))</f>
        <v>0</v>
      </c>
      <c r="AN5" s="53">
        <f>IF(COUNTIF(Overwash_Matrix!$C:$C,1985)=0,"",COUNTIFS(Overwash_Matrix!$C:$C,1985,Overwash_Matrix!AT:AT,1))</f>
        <v>0</v>
      </c>
      <c r="AO5" s="53">
        <f>IF(COUNTIF(Overwash_Matrix!$C:$C,1985)=0,"",COUNTIFS(Overwash_Matrix!$C:$C,1985,Overwash_Matrix!AU:AU,1))</f>
        <v>0</v>
      </c>
      <c r="AP5" s="53">
        <f>IF(COUNTIF(Overwash_Matrix!$C:$C,1985)=0,"",COUNTIFS(Overwash_Matrix!$C:$C,1985,Overwash_Matrix!AV:AV,1))</f>
        <v>0</v>
      </c>
      <c r="AQ5" s="53">
        <f>IF(COUNTIF(Overwash_Matrix!$C:$C,1985)=0,"",COUNTIFS(Overwash_Matrix!$C:$C,1985,Overwash_Matrix!AW:AW,1))</f>
        <v>0</v>
      </c>
      <c r="AR5" s="53">
        <f>IF(COUNTIF(Overwash_Matrix!$C:$C,1985)=0,"",COUNTIFS(Overwash_Matrix!$C:$C,1985,Overwash_Matrix!AX:AX,1))</f>
        <v>0</v>
      </c>
      <c r="AS5" s="53">
        <f>IF(COUNTIF(Overwash_Matrix!$C:$C,1985)=0,"",COUNTIFS(Overwash_Matrix!$C:$C,1985,Overwash_Matrix!AY:AY,1))</f>
        <v>0</v>
      </c>
      <c r="AT5" s="53">
        <f>IF(COUNTIF(Overwash_Matrix!$C:$C,1985)=0,"",COUNTIFS(Overwash_Matrix!$C:$C,1985,Overwash_Matrix!AZ:AZ,1))</f>
        <v>0</v>
      </c>
      <c r="AU5" s="53">
        <f>IF(COUNTIF(Overwash_Matrix!$C:$C,1985)=0,"",COUNTIFS(Overwash_Matrix!$C:$C,1985,Overwash_Matrix!BA:BA,1))</f>
        <v>0</v>
      </c>
      <c r="AV5" s="53">
        <f>IF(COUNTIF(Overwash_Matrix!$C:$C,1985)=0,"",COUNTIFS(Overwash_Matrix!$C:$C,1985,Overwash_Matrix!BB:BB,1))</f>
        <v>0</v>
      </c>
      <c r="AW5" s="53">
        <f>IF(COUNTIF(Overwash_Matrix!$C:$C,1985)=0,"",COUNTIFS(Overwash_Matrix!$C:$C,1985,Overwash_Matrix!BC:BC,1))</f>
        <v>0</v>
      </c>
      <c r="AX5" s="53">
        <f>IF(COUNTIF(Overwash_Matrix!$C:$C,1985)=0,"",COUNTIFS(Overwash_Matrix!$C:$C,1985,Overwash_Matrix!BD:BD,1))</f>
        <v>0</v>
      </c>
      <c r="AY5" s="53">
        <f>IF(COUNTIF(Overwash_Matrix!$C:$C,1985)=0,"",COUNTIFS(Overwash_Matrix!$C:$C,1985,Overwash_Matrix!BE:BE,1))</f>
        <v>0</v>
      </c>
      <c r="AZ5" s="53">
        <f>IF(COUNTIF(Overwash_Matrix!$C:$C,1985)=0,"",COUNTIFS(Overwash_Matrix!$C:$C,1985,Overwash_Matrix!BF:BF,1))</f>
        <v>0</v>
      </c>
      <c r="BA5" s="53">
        <f>IF(COUNTIF(Overwash_Matrix!$C:$C,1985)=0,"",COUNTIFS(Overwash_Matrix!$C:$C,1985,Overwash_Matrix!BG:BG,1))</f>
        <v>0</v>
      </c>
      <c r="BB5" s="53">
        <f>IF(COUNTIF(Overwash_Matrix!$C:$C,1985)=0,"",COUNTIFS(Overwash_Matrix!$C:$C,1985,Overwash_Matrix!BH:BH,1))</f>
        <v>0</v>
      </c>
      <c r="BC5" s="53">
        <f>IF(COUNTIF(Overwash_Matrix!$C:$C,1985)=0,"",COUNTIFS(Overwash_Matrix!$C:$C,1985,Overwash_Matrix!BI:BI,1))</f>
        <v>0</v>
      </c>
      <c r="BD5" s="53">
        <f>IF(COUNTIF(Overwash_Matrix!$C:$C,1985)=0,"",COUNTIFS(Overwash_Matrix!$C:$C,1985,Overwash_Matrix!BJ:BJ,1))</f>
        <v>0</v>
      </c>
      <c r="BE5" s="53">
        <f>IF(COUNTIF(Overwash_Matrix!$C:$C,1985)=0,"",COUNTIFS(Overwash_Matrix!$C:$C,1985,Overwash_Matrix!BK:BK,1))</f>
        <v>0</v>
      </c>
      <c r="BF5" s="53">
        <f>IF(COUNTIF(Overwash_Matrix!$C:$C,1985)=0,"",COUNTIFS(Overwash_Matrix!$C:$C,1985,Overwash_Matrix!BL:BL,1))</f>
        <v>0</v>
      </c>
      <c r="BG5" s="53">
        <f>IF(COUNTIF(Overwash_Matrix!$C:$C,1985)=0,"",COUNTIFS(Overwash_Matrix!$C:$C,1985,Overwash_Matrix!BM:BM,1))</f>
        <v>0</v>
      </c>
      <c r="BH5" s="53">
        <f>IF(COUNTIF(Overwash_Matrix!$C:$C,1985)=0,"",COUNTIFS(Overwash_Matrix!$C:$C,1985,Overwash_Matrix!BN:BN,1))</f>
        <v>0</v>
      </c>
      <c r="BI5" s="53">
        <f>IF(COUNTIF(Overwash_Matrix!$C:$C,1985)=0,"",COUNTIFS(Overwash_Matrix!$C:$C,1985,Overwash_Matrix!BO:BO,1))</f>
        <v>0</v>
      </c>
      <c r="BJ5" s="53">
        <f>IF(COUNTIF(Overwash_Matrix!$C:$C,1985)=0,"",COUNTIFS(Overwash_Matrix!$C:$C,1985,Overwash_Matrix!BP:BP,1))</f>
        <v>0</v>
      </c>
      <c r="BK5" s="53">
        <f>IF(COUNTIF(Overwash_Matrix!$C:$C,1985)=0,"",COUNTIFS(Overwash_Matrix!$C:$C,1985,Overwash_Matrix!BQ:BQ,1))</f>
        <v>0</v>
      </c>
      <c r="BL5" s="53">
        <f>IF(COUNTIF(Overwash_Matrix!$C:$C,1985)=0,"",COUNTIFS(Overwash_Matrix!$C:$C,1985,Overwash_Matrix!BR:BR,1))</f>
        <v>0</v>
      </c>
      <c r="BM5" s="53">
        <f>IF(COUNTIF(Overwash_Matrix!$C:$C,1985)=0,"",COUNTIFS(Overwash_Matrix!$C:$C,1985,Overwash_Matrix!BS:BS,1))</f>
        <v>0</v>
      </c>
      <c r="BN5" s="53">
        <f>IF(COUNTIF(Overwash_Matrix!$C:$C,1985)=0,"",COUNTIFS(Overwash_Matrix!$C:$C,1985,Overwash_Matrix!BT:BT,1))</f>
        <v>0</v>
      </c>
      <c r="BO5" s="53">
        <f>IF(COUNTIF(Overwash_Matrix!$C:$C,1985)=0,"",COUNTIFS(Overwash_Matrix!$C:$C,1985,Overwash_Matrix!BU:BU,1))</f>
        <v>0</v>
      </c>
      <c r="BP5" s="53">
        <f>IF(COUNTIF(Overwash_Matrix!$C:$C,1985)=0,"",COUNTIFS(Overwash_Matrix!$C:$C,1985,Overwash_Matrix!BV:BV,1))</f>
        <v>0</v>
      </c>
      <c r="BQ5" s="53">
        <f>IF(COUNTIF(Overwash_Matrix!$C:$C,1985)=0,"",COUNTIFS(Overwash_Matrix!$C:$C,1985,Overwash_Matrix!BW:BW,1))</f>
        <v>0</v>
      </c>
      <c r="BR5" s="53">
        <f>IF(COUNTIF(Overwash_Matrix!$C:$C,1985)=0,"",COUNTIFS(Overwash_Matrix!$C:$C,1985,Overwash_Matrix!BX:BX,1))</f>
        <v>0</v>
      </c>
      <c r="BS5" s="53">
        <f>IF(COUNTIF(Overwash_Matrix!$C:$C,1985)=0,"",COUNTIFS(Overwash_Matrix!$C:$C,1985,Overwash_Matrix!BY:BY,1))</f>
        <v>0</v>
      </c>
      <c r="BT5" s="53">
        <f>IF(COUNTIF(Overwash_Matrix!$C:$C,1985)=0,"",COUNTIFS(Overwash_Matrix!$C:$C,1985,Overwash_Matrix!BZ:BZ,1))</f>
        <v>0</v>
      </c>
      <c r="BU5" s="53">
        <f>IF(COUNTIF(Overwash_Matrix!$C:$C,1985)=0,"",COUNTIFS(Overwash_Matrix!$C:$C,1985,Overwash_Matrix!CA:CA,1))</f>
        <v>0</v>
      </c>
      <c r="BV5" s="53">
        <f>IF(COUNTIF(Overwash_Matrix!$C:$C,1985)=0,"",COUNTIFS(Overwash_Matrix!$C:$C,1985,Overwash_Matrix!CB:CB,1))</f>
        <v>0</v>
      </c>
      <c r="BW5" s="53">
        <f>IF(COUNTIF(Overwash_Matrix!$C:$C,1985)=0,"",COUNTIFS(Overwash_Matrix!$C:$C,1985,Overwash_Matrix!CC:CC,1))</f>
        <v>0</v>
      </c>
      <c r="BX5" s="53">
        <f>IF(COUNTIF(Overwash_Matrix!$C:$C,1985)=0,"",COUNTIFS(Overwash_Matrix!$C:$C,1985,Overwash_Matrix!CD:CD,1))</f>
        <v>0</v>
      </c>
      <c r="BY5" s="53">
        <f>IF(COUNTIF(Overwash_Matrix!$C:$C,1985)=0,"",COUNTIFS(Overwash_Matrix!$C:$C,1985,Overwash_Matrix!CE:CE,1))</f>
        <v>0</v>
      </c>
      <c r="BZ5" s="53">
        <f>IF(COUNTIF(Overwash_Matrix!$C:$C,1985)=0,"",COUNTIFS(Overwash_Matrix!$C:$C,1985,Overwash_Matrix!CF:CF,1))</f>
        <v>0</v>
      </c>
      <c r="CA5" s="53">
        <f>IF(COUNTIF(Overwash_Matrix!$C:$C,1985)=0,"",COUNTIFS(Overwash_Matrix!$C:$C,1985,Overwash_Matrix!CG:CG,1))</f>
        <v>0</v>
      </c>
      <c r="CB5" s="53">
        <f>IF(COUNTIF(Overwash_Matrix!$C:$C,1985)=0,"",COUNTIFS(Overwash_Matrix!$C:$C,1985,Overwash_Matrix!CH:CH,1))</f>
        <v>0</v>
      </c>
      <c r="CC5" s="53">
        <f>IF(COUNTIF(Overwash_Matrix!$C:$C,1985)=0,"",COUNTIFS(Overwash_Matrix!$C:$C,1985,Overwash_Matrix!CI:CI,1))</f>
        <v>0</v>
      </c>
      <c r="CD5" s="53">
        <f>IF(COUNTIF(Overwash_Matrix!$C:$C,1985)=0,"",COUNTIFS(Overwash_Matrix!$C:$C,1985,Overwash_Matrix!CJ:CJ,1))</f>
        <v>0</v>
      </c>
      <c r="CE5" s="53">
        <f>IF(COUNTIF(Overwash_Matrix!$C:$C,1985)=0,"",COUNTIFS(Overwash_Matrix!$C:$C,1985,Overwash_Matrix!CK:CK,1))</f>
        <v>0</v>
      </c>
      <c r="CF5" s="53">
        <f>IF(COUNTIF(Overwash_Matrix!$C:$C,1985)=0,"",COUNTIFS(Overwash_Matrix!$C:$C,1985,Overwash_Matrix!CL:CL,1))</f>
        <v>0</v>
      </c>
      <c r="CG5" s="53">
        <f>IF(COUNTIF(Overwash_Matrix!$C:$C,1985)=0,"",COUNTIFS(Overwash_Matrix!$C:$C,1985,Overwash_Matrix!CM:CM,1))</f>
        <v>0</v>
      </c>
      <c r="CH5" s="53">
        <f>IF(COUNTIF(Overwash_Matrix!$C:$C,1985)=0,"",COUNTIFS(Overwash_Matrix!$C:$C,1985,Overwash_Matrix!CN:CN,1))</f>
        <v>0</v>
      </c>
      <c r="CI5" s="53">
        <f>IF(COUNTIF(Overwash_Matrix!$C:$C,1985)=0,"",COUNTIFS(Overwash_Matrix!$C:$C,1985,Overwash_Matrix!CO:CO,1))</f>
        <v>0</v>
      </c>
      <c r="CJ5" s="53">
        <f>IF(COUNTIF(Overwash_Matrix!$C:$C,1985)=0,"",COUNTIFS(Overwash_Matrix!$C:$C,1985,Overwash_Matrix!CP:CP,1))</f>
        <v>0</v>
      </c>
      <c r="CK5" s="53">
        <f>IF(COUNTIF(Overwash_Matrix!$C:$C,1985)=0,"",COUNTIFS(Overwash_Matrix!$C:$C,1985,Overwash_Matrix!CQ:CQ,1))</f>
        <v>0</v>
      </c>
      <c r="CL5" s="53">
        <f>IF(COUNTIF(Overwash_Matrix!$C:$C,1985)=0,"",COUNTIFS(Overwash_Matrix!$C:$C,1985,Overwash_Matrix!CR:CR,1))</f>
        <v>0</v>
      </c>
      <c r="CM5" s="53">
        <f>IF(COUNTIF(Overwash_Matrix!$C:$C,1985)=0,"",COUNTIFS(Overwash_Matrix!$C:$C,1985,Overwash_Matrix!CS:CS,1))</f>
        <v>0</v>
      </c>
      <c r="CN5" s="53">
        <f>IF(COUNTIF(Overwash_Matrix!$C:$C,1985)=0,"",COUNTIFS(Overwash_Matrix!$C:$C,1985,Overwash_Matrix!CT:CT,1))</f>
        <v>0</v>
      </c>
    </row>
    <row r="6" ht="13.5" customHeight="1">
      <c r="A6" s="86">
        <v>1986.0</v>
      </c>
      <c r="B6" s="87">
        <f>COUNTIF(Overwash_Matrix!$C:$C,1986)</f>
        <v>0</v>
      </c>
      <c r="C6" s="57" t="str">
        <f>IF(COUNTIF(Overwash_Matrix!$C:$C,1986)=0,"",COUNTIFS(Overwash_Matrix!$C:$C,1986,Overwash_Matrix!I:I,1))</f>
        <v/>
      </c>
      <c r="D6" s="57" t="str">
        <f>IF(COUNTIF(Overwash_Matrix!$C:$C,1986)=0,"",COUNTIFS(Overwash_Matrix!$C:$C,1986,Overwash_Matrix!J:J,1))</f>
        <v/>
      </c>
      <c r="E6" s="57" t="str">
        <f>IF(COUNTIF(Overwash_Matrix!$C:$C,1986)=0,"",COUNTIFS(Overwash_Matrix!$C:$C,1986,Overwash_Matrix!K:K,1))</f>
        <v/>
      </c>
      <c r="F6" s="57" t="str">
        <f>IF(COUNTIF(Overwash_Matrix!$C:$C,1986)=0,"",COUNTIFS(Overwash_Matrix!$C:$C,1986,Overwash_Matrix!L:L,1))</f>
        <v/>
      </c>
      <c r="G6" s="57" t="str">
        <f>IF(COUNTIF(Overwash_Matrix!$C:$C,1986)=0,"",COUNTIFS(Overwash_Matrix!$C:$C,1986,Overwash_Matrix!M:M,1))</f>
        <v/>
      </c>
      <c r="H6" s="57" t="str">
        <f>IF(COUNTIF(Overwash_Matrix!$C:$C,1986)=0,"",COUNTIFS(Overwash_Matrix!$C:$C,1986,Overwash_Matrix!N:N,1))</f>
        <v/>
      </c>
      <c r="I6" s="57" t="str">
        <f>IF(COUNTIF(Overwash_Matrix!$C:$C,1986)=0,"",COUNTIFS(Overwash_Matrix!$C:$C,1986,Overwash_Matrix!O:O,1))</f>
        <v/>
      </c>
      <c r="J6" s="57" t="str">
        <f>IF(COUNTIF(Overwash_Matrix!$C:$C,1986)=0,"",COUNTIFS(Overwash_Matrix!$C:$C,1986,Overwash_Matrix!P:P,1))</f>
        <v/>
      </c>
      <c r="K6" s="57" t="str">
        <f>IF(COUNTIF(Overwash_Matrix!$C:$C,1986)=0,"",COUNTIFS(Overwash_Matrix!$C:$C,1986,Overwash_Matrix!Q:Q,1))</f>
        <v/>
      </c>
      <c r="L6" s="57" t="str">
        <f>IF(COUNTIF(Overwash_Matrix!$C:$C,1986)=0,"",COUNTIFS(Overwash_Matrix!$C:$C,1986,Overwash_Matrix!R:R,1))</f>
        <v/>
      </c>
      <c r="M6" s="57" t="str">
        <f>IF(COUNTIF(Overwash_Matrix!$C:$C,1986)=0,"",COUNTIFS(Overwash_Matrix!$C:$C,1986,Overwash_Matrix!S:S,1))</f>
        <v/>
      </c>
      <c r="N6" s="57" t="str">
        <f>IF(COUNTIF(Overwash_Matrix!$C:$C,1986)=0,"",COUNTIFS(Overwash_Matrix!$C:$C,1986,Overwash_Matrix!T:T,1))</f>
        <v/>
      </c>
      <c r="O6" s="57" t="str">
        <f>IF(COUNTIF(Overwash_Matrix!$C:$C,1986)=0,"",COUNTIFS(Overwash_Matrix!$C:$C,1986,Overwash_Matrix!U:U,1))</f>
        <v/>
      </c>
      <c r="P6" s="57" t="str">
        <f>IF(COUNTIF(Overwash_Matrix!$C:$C,1986)=0,"",COUNTIFS(Overwash_Matrix!$C:$C,1986,Overwash_Matrix!V:V,1))</f>
        <v/>
      </c>
      <c r="Q6" s="57" t="str">
        <f>IF(COUNTIF(Overwash_Matrix!$C:$C,1986)=0,"",COUNTIFS(Overwash_Matrix!$C:$C,1986,Overwash_Matrix!W:W,1))</f>
        <v/>
      </c>
      <c r="R6" s="57" t="str">
        <f>IF(COUNTIF(Overwash_Matrix!$C:$C,1986)=0,"",COUNTIFS(Overwash_Matrix!$C:$C,1986,Overwash_Matrix!X:X,1))</f>
        <v/>
      </c>
      <c r="S6" s="57" t="str">
        <f>IF(COUNTIF(Overwash_Matrix!$C:$C,1986)=0,"",COUNTIFS(Overwash_Matrix!$C:$C,1986,Overwash_Matrix!Y:Y,1))</f>
        <v/>
      </c>
      <c r="T6" s="57" t="str">
        <f>IF(COUNTIF(Overwash_Matrix!$C:$C,1986)=0,"",COUNTIFS(Overwash_Matrix!$C:$C,1986,Overwash_Matrix!Z:Z,1))</f>
        <v/>
      </c>
      <c r="U6" s="57" t="str">
        <f>IF(COUNTIF(Overwash_Matrix!$C:$C,1986)=0,"",COUNTIFS(Overwash_Matrix!$C:$C,1986,Overwash_Matrix!AA:AA,1))</f>
        <v/>
      </c>
      <c r="V6" s="57" t="str">
        <f>IF(COUNTIF(Overwash_Matrix!$C:$C,1986)=0,"",COUNTIFS(Overwash_Matrix!$C:$C,1986,Overwash_Matrix!AB:AB,1))</f>
        <v/>
      </c>
      <c r="W6" s="57" t="str">
        <f>IF(COUNTIF(Overwash_Matrix!$C:$C,1986)=0,"",COUNTIFS(Overwash_Matrix!$C:$C,1986,Overwash_Matrix!AC:AC,1))</f>
        <v/>
      </c>
      <c r="X6" s="57" t="str">
        <f>IF(COUNTIF(Overwash_Matrix!$C:$C,1986)=0,"",COUNTIFS(Overwash_Matrix!$C:$C,1986,Overwash_Matrix!AD:AD,1))</f>
        <v/>
      </c>
      <c r="Y6" s="57" t="str">
        <f>IF(COUNTIF(Overwash_Matrix!$C:$C,1986)=0,"",COUNTIFS(Overwash_Matrix!$C:$C,1986,Overwash_Matrix!AE:AE,1))</f>
        <v/>
      </c>
      <c r="Z6" s="57" t="str">
        <f>IF(COUNTIF(Overwash_Matrix!$C:$C,1986)=0,"",COUNTIFS(Overwash_Matrix!$C:$C,1986,Overwash_Matrix!AF:AF,1))</f>
        <v/>
      </c>
      <c r="AA6" s="57" t="str">
        <f>IF(COUNTIF(Overwash_Matrix!$C:$C,1986)=0,"",COUNTIFS(Overwash_Matrix!$C:$C,1986,Overwash_Matrix!AG:AG,1))</f>
        <v/>
      </c>
      <c r="AB6" s="57" t="str">
        <f>IF(COUNTIF(Overwash_Matrix!$C:$C,1986)=0,"",COUNTIFS(Overwash_Matrix!$C:$C,1986,Overwash_Matrix!AH:AH,1))</f>
        <v/>
      </c>
      <c r="AC6" s="57" t="str">
        <f>IF(COUNTIF(Overwash_Matrix!$C:$C,1986)=0,"",COUNTIFS(Overwash_Matrix!$C:$C,1986,Overwash_Matrix!AI:AI,1))</f>
        <v/>
      </c>
      <c r="AD6" s="57" t="str">
        <f>IF(COUNTIF(Overwash_Matrix!$C:$C,1986)=0,"",COUNTIFS(Overwash_Matrix!$C:$C,1986,Overwash_Matrix!AJ:AJ,1))</f>
        <v/>
      </c>
      <c r="AE6" s="57" t="str">
        <f>IF(COUNTIF(Overwash_Matrix!$C:$C,1986)=0,"",COUNTIFS(Overwash_Matrix!$C:$C,1986,Overwash_Matrix!AK:AK,1))</f>
        <v/>
      </c>
      <c r="AF6" s="57" t="str">
        <f>IF(COUNTIF(Overwash_Matrix!$C:$C,1986)=0,"",COUNTIFS(Overwash_Matrix!$C:$C,1986,Overwash_Matrix!AL:AL,1))</f>
        <v/>
      </c>
      <c r="AG6" s="57" t="str">
        <f>IF(COUNTIF(Overwash_Matrix!$C:$C,1986)=0,"",COUNTIFS(Overwash_Matrix!$C:$C,1986,Overwash_Matrix!AM:AM,1))</f>
        <v/>
      </c>
      <c r="AH6" s="57" t="str">
        <f>IF(COUNTIF(Overwash_Matrix!$C:$C,1986)=0,"",COUNTIFS(Overwash_Matrix!$C:$C,1986,Overwash_Matrix!AN:AN,1))</f>
        <v/>
      </c>
      <c r="AI6" s="57" t="str">
        <f>IF(COUNTIF(Overwash_Matrix!$C:$C,1986)=0,"",COUNTIFS(Overwash_Matrix!$C:$C,1986,Overwash_Matrix!AO:AO,1))</f>
        <v/>
      </c>
      <c r="AJ6" s="57" t="str">
        <f>IF(COUNTIF(Overwash_Matrix!$C:$C,1986)=0,"",COUNTIFS(Overwash_Matrix!$C:$C,1986,Overwash_Matrix!AP:AP,1))</f>
        <v/>
      </c>
      <c r="AK6" s="57" t="str">
        <f>IF(COUNTIF(Overwash_Matrix!$C:$C,1986)=0,"",COUNTIFS(Overwash_Matrix!$C:$C,1986,Overwash_Matrix!AQ:AQ,1))</f>
        <v/>
      </c>
      <c r="AL6" s="57" t="str">
        <f>IF(COUNTIF(Overwash_Matrix!$C:$C,1986)=0,"",COUNTIFS(Overwash_Matrix!$C:$C,1986,Overwash_Matrix!AR:AR,1))</f>
        <v/>
      </c>
      <c r="AM6" s="57" t="str">
        <f>IF(COUNTIF(Overwash_Matrix!$C:$C,1986)=0,"",COUNTIFS(Overwash_Matrix!$C:$C,1986,Overwash_Matrix!AS:AS,1))</f>
        <v/>
      </c>
      <c r="AN6" s="57" t="str">
        <f>IF(COUNTIF(Overwash_Matrix!$C:$C,1986)=0,"",COUNTIFS(Overwash_Matrix!$C:$C,1986,Overwash_Matrix!AT:AT,1))</f>
        <v/>
      </c>
      <c r="AO6" s="57" t="str">
        <f>IF(COUNTIF(Overwash_Matrix!$C:$C,1986)=0,"",COUNTIFS(Overwash_Matrix!$C:$C,1986,Overwash_Matrix!AU:AU,1))</f>
        <v/>
      </c>
      <c r="AP6" s="57" t="str">
        <f>IF(COUNTIF(Overwash_Matrix!$C:$C,1986)=0,"",COUNTIFS(Overwash_Matrix!$C:$C,1986,Overwash_Matrix!AV:AV,1))</f>
        <v/>
      </c>
      <c r="AQ6" s="57" t="str">
        <f>IF(COUNTIF(Overwash_Matrix!$C:$C,1986)=0,"",COUNTIFS(Overwash_Matrix!$C:$C,1986,Overwash_Matrix!AW:AW,1))</f>
        <v/>
      </c>
      <c r="AR6" s="57" t="str">
        <f>IF(COUNTIF(Overwash_Matrix!$C:$C,1986)=0,"",COUNTIFS(Overwash_Matrix!$C:$C,1986,Overwash_Matrix!AX:AX,1))</f>
        <v/>
      </c>
      <c r="AS6" s="57" t="str">
        <f>IF(COUNTIF(Overwash_Matrix!$C:$C,1986)=0,"",COUNTIFS(Overwash_Matrix!$C:$C,1986,Overwash_Matrix!AY:AY,1))</f>
        <v/>
      </c>
      <c r="AT6" s="57" t="str">
        <f>IF(COUNTIF(Overwash_Matrix!$C:$C,1986)=0,"",COUNTIFS(Overwash_Matrix!$C:$C,1986,Overwash_Matrix!AZ:AZ,1))</f>
        <v/>
      </c>
      <c r="AU6" s="57" t="str">
        <f>IF(COUNTIF(Overwash_Matrix!$C:$C,1986)=0,"",COUNTIFS(Overwash_Matrix!$C:$C,1986,Overwash_Matrix!BA:BA,1))</f>
        <v/>
      </c>
      <c r="AV6" s="57" t="str">
        <f>IF(COUNTIF(Overwash_Matrix!$C:$C,1986)=0,"",COUNTIFS(Overwash_Matrix!$C:$C,1986,Overwash_Matrix!BB:BB,1))</f>
        <v/>
      </c>
      <c r="AW6" s="57" t="str">
        <f>IF(COUNTIF(Overwash_Matrix!$C:$C,1986)=0,"",COUNTIFS(Overwash_Matrix!$C:$C,1986,Overwash_Matrix!BC:BC,1))</f>
        <v/>
      </c>
      <c r="AX6" s="57" t="str">
        <f>IF(COUNTIF(Overwash_Matrix!$C:$C,1986)=0,"",COUNTIFS(Overwash_Matrix!$C:$C,1986,Overwash_Matrix!BD:BD,1))</f>
        <v/>
      </c>
      <c r="AY6" s="57" t="str">
        <f>IF(COUNTIF(Overwash_Matrix!$C:$C,1986)=0,"",COUNTIFS(Overwash_Matrix!$C:$C,1986,Overwash_Matrix!BE:BE,1))</f>
        <v/>
      </c>
      <c r="AZ6" s="57" t="str">
        <f>IF(COUNTIF(Overwash_Matrix!$C:$C,1986)=0,"",COUNTIFS(Overwash_Matrix!$C:$C,1986,Overwash_Matrix!BF:BF,1))</f>
        <v/>
      </c>
      <c r="BA6" s="57" t="str">
        <f>IF(COUNTIF(Overwash_Matrix!$C:$C,1986)=0,"",COUNTIFS(Overwash_Matrix!$C:$C,1986,Overwash_Matrix!BG:BG,1))</f>
        <v/>
      </c>
      <c r="BB6" s="57" t="str">
        <f>IF(COUNTIF(Overwash_Matrix!$C:$C,1986)=0,"",COUNTIFS(Overwash_Matrix!$C:$C,1986,Overwash_Matrix!BH:BH,1))</f>
        <v/>
      </c>
      <c r="BC6" s="57" t="str">
        <f>IF(COUNTIF(Overwash_Matrix!$C:$C,1986)=0,"",COUNTIFS(Overwash_Matrix!$C:$C,1986,Overwash_Matrix!BI:BI,1))</f>
        <v/>
      </c>
      <c r="BD6" s="57" t="str">
        <f>IF(COUNTIF(Overwash_Matrix!$C:$C,1986)=0,"",COUNTIFS(Overwash_Matrix!$C:$C,1986,Overwash_Matrix!BJ:BJ,1))</f>
        <v/>
      </c>
      <c r="BE6" s="57" t="str">
        <f>IF(COUNTIF(Overwash_Matrix!$C:$C,1986)=0,"",COUNTIFS(Overwash_Matrix!$C:$C,1986,Overwash_Matrix!BK:BK,1))</f>
        <v/>
      </c>
      <c r="BF6" s="57" t="str">
        <f>IF(COUNTIF(Overwash_Matrix!$C:$C,1986)=0,"",COUNTIFS(Overwash_Matrix!$C:$C,1986,Overwash_Matrix!BL:BL,1))</f>
        <v/>
      </c>
      <c r="BG6" s="57" t="str">
        <f>IF(COUNTIF(Overwash_Matrix!$C:$C,1986)=0,"",COUNTIFS(Overwash_Matrix!$C:$C,1986,Overwash_Matrix!BM:BM,1))</f>
        <v/>
      </c>
      <c r="BH6" s="57" t="str">
        <f>IF(COUNTIF(Overwash_Matrix!$C:$C,1986)=0,"",COUNTIFS(Overwash_Matrix!$C:$C,1986,Overwash_Matrix!BN:BN,1))</f>
        <v/>
      </c>
      <c r="BI6" s="57" t="str">
        <f>IF(COUNTIF(Overwash_Matrix!$C:$C,1986)=0,"",COUNTIFS(Overwash_Matrix!$C:$C,1986,Overwash_Matrix!BO:BO,1))</f>
        <v/>
      </c>
      <c r="BJ6" s="57" t="str">
        <f>IF(COUNTIF(Overwash_Matrix!$C:$C,1986)=0,"",COUNTIFS(Overwash_Matrix!$C:$C,1986,Overwash_Matrix!BP:BP,1))</f>
        <v/>
      </c>
      <c r="BK6" s="57" t="str">
        <f>IF(COUNTIF(Overwash_Matrix!$C:$C,1986)=0,"",COUNTIFS(Overwash_Matrix!$C:$C,1986,Overwash_Matrix!BQ:BQ,1))</f>
        <v/>
      </c>
      <c r="BL6" s="57" t="str">
        <f>IF(COUNTIF(Overwash_Matrix!$C:$C,1986)=0,"",COUNTIFS(Overwash_Matrix!$C:$C,1986,Overwash_Matrix!BR:BR,1))</f>
        <v/>
      </c>
      <c r="BM6" s="57" t="str">
        <f>IF(COUNTIF(Overwash_Matrix!$C:$C,1986)=0,"",COUNTIFS(Overwash_Matrix!$C:$C,1986,Overwash_Matrix!BS:BS,1))</f>
        <v/>
      </c>
      <c r="BN6" s="57" t="str">
        <f>IF(COUNTIF(Overwash_Matrix!$C:$C,1986)=0,"",COUNTIFS(Overwash_Matrix!$C:$C,1986,Overwash_Matrix!BT:BT,1))</f>
        <v/>
      </c>
      <c r="BO6" s="57" t="str">
        <f>IF(COUNTIF(Overwash_Matrix!$C:$C,1986)=0,"",COUNTIFS(Overwash_Matrix!$C:$C,1986,Overwash_Matrix!BU:BU,1))</f>
        <v/>
      </c>
      <c r="BP6" s="57" t="str">
        <f>IF(COUNTIF(Overwash_Matrix!$C:$C,1986)=0,"",COUNTIFS(Overwash_Matrix!$C:$C,1986,Overwash_Matrix!BV:BV,1))</f>
        <v/>
      </c>
      <c r="BQ6" s="57" t="str">
        <f>IF(COUNTIF(Overwash_Matrix!$C:$C,1986)=0,"",COUNTIFS(Overwash_Matrix!$C:$C,1986,Overwash_Matrix!BW:BW,1))</f>
        <v/>
      </c>
      <c r="BR6" s="57" t="str">
        <f>IF(COUNTIF(Overwash_Matrix!$C:$C,1986)=0,"",COUNTIFS(Overwash_Matrix!$C:$C,1986,Overwash_Matrix!BX:BX,1))</f>
        <v/>
      </c>
      <c r="BS6" s="57" t="str">
        <f>IF(COUNTIF(Overwash_Matrix!$C:$C,1986)=0,"",COUNTIFS(Overwash_Matrix!$C:$C,1986,Overwash_Matrix!BY:BY,1))</f>
        <v/>
      </c>
      <c r="BT6" s="57" t="str">
        <f>IF(COUNTIF(Overwash_Matrix!$C:$C,1986)=0,"",COUNTIFS(Overwash_Matrix!$C:$C,1986,Overwash_Matrix!BZ:BZ,1))</f>
        <v/>
      </c>
      <c r="BU6" s="57" t="str">
        <f>IF(COUNTIF(Overwash_Matrix!$C:$C,1986)=0,"",COUNTIFS(Overwash_Matrix!$C:$C,1986,Overwash_Matrix!CA:CA,1))</f>
        <v/>
      </c>
      <c r="BV6" s="57" t="str">
        <f>IF(COUNTIF(Overwash_Matrix!$C:$C,1986)=0,"",COUNTIFS(Overwash_Matrix!$C:$C,1986,Overwash_Matrix!CB:CB,1))</f>
        <v/>
      </c>
      <c r="BW6" s="57" t="str">
        <f>IF(COUNTIF(Overwash_Matrix!$C:$C,1986)=0,"",COUNTIFS(Overwash_Matrix!$C:$C,1986,Overwash_Matrix!CC:CC,1))</f>
        <v/>
      </c>
      <c r="BX6" s="57" t="str">
        <f>IF(COUNTIF(Overwash_Matrix!$C:$C,1986)=0,"",COUNTIFS(Overwash_Matrix!$C:$C,1986,Overwash_Matrix!CD:CD,1))</f>
        <v/>
      </c>
      <c r="BY6" s="57" t="str">
        <f>IF(COUNTIF(Overwash_Matrix!$C:$C,1986)=0,"",COUNTIFS(Overwash_Matrix!$C:$C,1986,Overwash_Matrix!CE:CE,1))</f>
        <v/>
      </c>
      <c r="BZ6" s="57" t="str">
        <f>IF(COUNTIF(Overwash_Matrix!$C:$C,1986)=0,"",COUNTIFS(Overwash_Matrix!$C:$C,1986,Overwash_Matrix!CF:CF,1))</f>
        <v/>
      </c>
      <c r="CA6" s="57" t="str">
        <f>IF(COUNTIF(Overwash_Matrix!$C:$C,1986)=0,"",COUNTIFS(Overwash_Matrix!$C:$C,1986,Overwash_Matrix!CG:CG,1))</f>
        <v/>
      </c>
      <c r="CB6" s="57" t="str">
        <f>IF(COUNTIF(Overwash_Matrix!$C:$C,1986)=0,"",COUNTIFS(Overwash_Matrix!$C:$C,1986,Overwash_Matrix!CH:CH,1))</f>
        <v/>
      </c>
      <c r="CC6" s="57" t="str">
        <f>IF(COUNTIF(Overwash_Matrix!$C:$C,1986)=0,"",COUNTIFS(Overwash_Matrix!$C:$C,1986,Overwash_Matrix!CI:CI,1))</f>
        <v/>
      </c>
      <c r="CD6" s="57" t="str">
        <f>IF(COUNTIF(Overwash_Matrix!$C:$C,1986)=0,"",COUNTIFS(Overwash_Matrix!$C:$C,1986,Overwash_Matrix!CJ:CJ,1))</f>
        <v/>
      </c>
      <c r="CE6" s="57" t="str">
        <f>IF(COUNTIF(Overwash_Matrix!$C:$C,1986)=0,"",COUNTIFS(Overwash_Matrix!$C:$C,1986,Overwash_Matrix!CK:CK,1))</f>
        <v/>
      </c>
      <c r="CF6" s="57" t="str">
        <f>IF(COUNTIF(Overwash_Matrix!$C:$C,1986)=0,"",COUNTIFS(Overwash_Matrix!$C:$C,1986,Overwash_Matrix!CL:CL,1))</f>
        <v/>
      </c>
      <c r="CG6" s="57" t="str">
        <f>IF(COUNTIF(Overwash_Matrix!$C:$C,1986)=0,"",COUNTIFS(Overwash_Matrix!$C:$C,1986,Overwash_Matrix!CM:CM,1))</f>
        <v/>
      </c>
      <c r="CH6" s="57" t="str">
        <f>IF(COUNTIF(Overwash_Matrix!$C:$C,1986)=0,"",COUNTIFS(Overwash_Matrix!$C:$C,1986,Overwash_Matrix!CN:CN,1))</f>
        <v/>
      </c>
      <c r="CI6" s="57" t="str">
        <f>IF(COUNTIF(Overwash_Matrix!$C:$C,1986)=0,"",COUNTIFS(Overwash_Matrix!$C:$C,1986,Overwash_Matrix!CO:CO,1))</f>
        <v/>
      </c>
      <c r="CJ6" s="57" t="str">
        <f>IF(COUNTIF(Overwash_Matrix!$C:$C,1986)=0,"",COUNTIFS(Overwash_Matrix!$C:$C,1986,Overwash_Matrix!CP:CP,1))</f>
        <v/>
      </c>
      <c r="CK6" s="57" t="str">
        <f>IF(COUNTIF(Overwash_Matrix!$C:$C,1986)=0,"",COUNTIFS(Overwash_Matrix!$C:$C,1986,Overwash_Matrix!CQ:CQ,1))</f>
        <v/>
      </c>
      <c r="CL6" s="57" t="str">
        <f>IF(COUNTIF(Overwash_Matrix!$C:$C,1986)=0,"",COUNTIFS(Overwash_Matrix!$C:$C,1986,Overwash_Matrix!CR:CR,1))</f>
        <v/>
      </c>
      <c r="CM6" s="57" t="str">
        <f>IF(COUNTIF(Overwash_Matrix!$C:$C,1986)=0,"",COUNTIFS(Overwash_Matrix!$C:$C,1986,Overwash_Matrix!CS:CS,1))</f>
        <v/>
      </c>
      <c r="CN6" s="57" t="str">
        <f>IF(COUNTIF(Overwash_Matrix!$C:$C,1986)=0,"",COUNTIFS(Overwash_Matrix!$C:$C,1986,Overwash_Matrix!CT:CT,1))</f>
        <v/>
      </c>
    </row>
    <row r="7" ht="13.5" customHeight="1">
      <c r="A7" s="88">
        <v>1987.0</v>
      </c>
      <c r="B7" s="89">
        <f>COUNTIF(Overwash_Matrix!$C:$C,1987)</f>
        <v>1</v>
      </c>
      <c r="C7" s="53">
        <f>IF(COUNTIF(Overwash_Matrix!$C:$C,1987)=0,"",COUNTIFS(Overwash_Matrix!$C:$C,1987,Overwash_Matrix!I:I,1))</f>
        <v>0</v>
      </c>
      <c r="D7" s="53">
        <f>IF(COUNTIF(Overwash_Matrix!$C:$C,1987)=0,"",COUNTIFS(Overwash_Matrix!$C:$C,1987,Overwash_Matrix!J:J,1))</f>
        <v>0</v>
      </c>
      <c r="E7" s="53">
        <f>IF(COUNTIF(Overwash_Matrix!$C:$C,1987)=0,"",COUNTIFS(Overwash_Matrix!$C:$C,1987,Overwash_Matrix!K:K,1))</f>
        <v>0</v>
      </c>
      <c r="F7" s="53">
        <f>IF(COUNTIF(Overwash_Matrix!$C:$C,1987)=0,"",COUNTIFS(Overwash_Matrix!$C:$C,1987,Overwash_Matrix!L:L,1))</f>
        <v>0</v>
      </c>
      <c r="G7" s="53">
        <f>IF(COUNTIF(Overwash_Matrix!$C:$C,1987)=0,"",COUNTIFS(Overwash_Matrix!$C:$C,1987,Overwash_Matrix!M:M,1))</f>
        <v>0</v>
      </c>
      <c r="H7" s="53">
        <f>IF(COUNTIF(Overwash_Matrix!$C:$C,1987)=0,"",COUNTIFS(Overwash_Matrix!$C:$C,1987,Overwash_Matrix!N:N,1))</f>
        <v>0</v>
      </c>
      <c r="I7" s="53">
        <f>IF(COUNTIF(Overwash_Matrix!$C:$C,1987)=0,"",COUNTIFS(Overwash_Matrix!$C:$C,1987,Overwash_Matrix!O:O,1))</f>
        <v>0</v>
      </c>
      <c r="J7" s="53">
        <f>IF(COUNTIF(Overwash_Matrix!$C:$C,1987)=0,"",COUNTIFS(Overwash_Matrix!$C:$C,1987,Overwash_Matrix!P:P,1))</f>
        <v>0</v>
      </c>
      <c r="K7" s="53">
        <f>IF(COUNTIF(Overwash_Matrix!$C:$C,1987)=0,"",COUNTIFS(Overwash_Matrix!$C:$C,1987,Overwash_Matrix!Q:Q,1))</f>
        <v>0</v>
      </c>
      <c r="L7" s="53">
        <f>IF(COUNTIF(Overwash_Matrix!$C:$C,1987)=0,"",COUNTIFS(Overwash_Matrix!$C:$C,1987,Overwash_Matrix!R:R,1))</f>
        <v>0</v>
      </c>
      <c r="M7" s="53">
        <f>IF(COUNTIF(Overwash_Matrix!$C:$C,1987)=0,"",COUNTIFS(Overwash_Matrix!$C:$C,1987,Overwash_Matrix!S:S,1))</f>
        <v>0</v>
      </c>
      <c r="N7" s="53">
        <f>IF(COUNTIF(Overwash_Matrix!$C:$C,1987)=0,"",COUNTIFS(Overwash_Matrix!$C:$C,1987,Overwash_Matrix!T:T,1))</f>
        <v>0</v>
      </c>
      <c r="O7" s="53">
        <f>IF(COUNTIF(Overwash_Matrix!$C:$C,1987)=0,"",COUNTIFS(Overwash_Matrix!$C:$C,1987,Overwash_Matrix!U:U,1))</f>
        <v>0</v>
      </c>
      <c r="P7" s="53">
        <f>IF(COUNTIF(Overwash_Matrix!$C:$C,1987)=0,"",COUNTIFS(Overwash_Matrix!$C:$C,1987,Overwash_Matrix!V:V,1))</f>
        <v>0</v>
      </c>
      <c r="Q7" s="53">
        <f>IF(COUNTIF(Overwash_Matrix!$C:$C,1987)=0,"",COUNTIFS(Overwash_Matrix!$C:$C,1987,Overwash_Matrix!W:W,1))</f>
        <v>0</v>
      </c>
      <c r="R7" s="53">
        <f>IF(COUNTIF(Overwash_Matrix!$C:$C,1987)=0,"",COUNTIFS(Overwash_Matrix!$C:$C,1987,Overwash_Matrix!X:X,1))</f>
        <v>0</v>
      </c>
      <c r="S7" s="53">
        <f>IF(COUNTIF(Overwash_Matrix!$C:$C,1987)=0,"",COUNTIFS(Overwash_Matrix!$C:$C,1987,Overwash_Matrix!Y:Y,1))</f>
        <v>0</v>
      </c>
      <c r="T7" s="53">
        <f>IF(COUNTIF(Overwash_Matrix!$C:$C,1987)=0,"",COUNTIFS(Overwash_Matrix!$C:$C,1987,Overwash_Matrix!Z:Z,1))</f>
        <v>0</v>
      </c>
      <c r="U7" s="53">
        <f>IF(COUNTIF(Overwash_Matrix!$C:$C,1987)=0,"",COUNTIFS(Overwash_Matrix!$C:$C,1987,Overwash_Matrix!AA:AA,1))</f>
        <v>0</v>
      </c>
      <c r="V7" s="53">
        <f>IF(COUNTIF(Overwash_Matrix!$C:$C,1987)=0,"",COUNTIFS(Overwash_Matrix!$C:$C,1987,Overwash_Matrix!AB:AB,1))</f>
        <v>0</v>
      </c>
      <c r="W7" s="53">
        <f>IF(COUNTIF(Overwash_Matrix!$C:$C,1987)=0,"",COUNTIFS(Overwash_Matrix!$C:$C,1987,Overwash_Matrix!AC:AC,1))</f>
        <v>0</v>
      </c>
      <c r="X7" s="53">
        <f>IF(COUNTIF(Overwash_Matrix!$C:$C,1987)=0,"",COUNTIFS(Overwash_Matrix!$C:$C,1987,Overwash_Matrix!AD:AD,1))</f>
        <v>0</v>
      </c>
      <c r="Y7" s="53">
        <f>IF(COUNTIF(Overwash_Matrix!$C:$C,1987)=0,"",COUNTIFS(Overwash_Matrix!$C:$C,1987,Overwash_Matrix!AE:AE,1))</f>
        <v>0</v>
      </c>
      <c r="Z7" s="53">
        <f>IF(COUNTIF(Overwash_Matrix!$C:$C,1987)=0,"",COUNTIFS(Overwash_Matrix!$C:$C,1987,Overwash_Matrix!AF:AF,1))</f>
        <v>0</v>
      </c>
      <c r="AA7" s="53">
        <f>IF(COUNTIF(Overwash_Matrix!$C:$C,1987)=0,"",COUNTIFS(Overwash_Matrix!$C:$C,1987,Overwash_Matrix!AG:AG,1))</f>
        <v>0</v>
      </c>
      <c r="AB7" s="53">
        <f>IF(COUNTIF(Overwash_Matrix!$C:$C,1987)=0,"",COUNTIFS(Overwash_Matrix!$C:$C,1987,Overwash_Matrix!AH:AH,1))</f>
        <v>0</v>
      </c>
      <c r="AC7" s="53">
        <f>IF(COUNTIF(Overwash_Matrix!$C:$C,1987)=0,"",COUNTIFS(Overwash_Matrix!$C:$C,1987,Overwash_Matrix!AI:AI,1))</f>
        <v>0</v>
      </c>
      <c r="AD7" s="53">
        <f>IF(COUNTIF(Overwash_Matrix!$C:$C,1987)=0,"",COUNTIFS(Overwash_Matrix!$C:$C,1987,Overwash_Matrix!AJ:AJ,1))</f>
        <v>0</v>
      </c>
      <c r="AE7" s="53">
        <f>IF(COUNTIF(Overwash_Matrix!$C:$C,1987)=0,"",COUNTIFS(Overwash_Matrix!$C:$C,1987,Overwash_Matrix!AK:AK,1))</f>
        <v>0</v>
      </c>
      <c r="AF7" s="53">
        <f>IF(COUNTIF(Overwash_Matrix!$C:$C,1987)=0,"",COUNTIFS(Overwash_Matrix!$C:$C,1987,Overwash_Matrix!AL:AL,1))</f>
        <v>0</v>
      </c>
      <c r="AG7" s="53">
        <f>IF(COUNTIF(Overwash_Matrix!$C:$C,1987)=0,"",COUNTIFS(Overwash_Matrix!$C:$C,1987,Overwash_Matrix!AM:AM,1))</f>
        <v>0</v>
      </c>
      <c r="AH7" s="53">
        <f>IF(COUNTIF(Overwash_Matrix!$C:$C,1987)=0,"",COUNTIFS(Overwash_Matrix!$C:$C,1987,Overwash_Matrix!AN:AN,1))</f>
        <v>0</v>
      </c>
      <c r="AI7" s="53">
        <f>IF(COUNTIF(Overwash_Matrix!$C:$C,1987)=0,"",COUNTIFS(Overwash_Matrix!$C:$C,1987,Overwash_Matrix!AO:AO,1))</f>
        <v>0</v>
      </c>
      <c r="AJ7" s="53">
        <f>IF(COUNTIF(Overwash_Matrix!$C:$C,1987)=0,"",COUNTIFS(Overwash_Matrix!$C:$C,1987,Overwash_Matrix!AP:AP,1))</f>
        <v>0</v>
      </c>
      <c r="AK7" s="53">
        <f>IF(COUNTIF(Overwash_Matrix!$C:$C,1987)=0,"",COUNTIFS(Overwash_Matrix!$C:$C,1987,Overwash_Matrix!AQ:AQ,1))</f>
        <v>0</v>
      </c>
      <c r="AL7" s="53">
        <f>IF(COUNTIF(Overwash_Matrix!$C:$C,1987)=0,"",COUNTIFS(Overwash_Matrix!$C:$C,1987,Overwash_Matrix!AR:AR,1))</f>
        <v>0</v>
      </c>
      <c r="AM7" s="53">
        <f>IF(COUNTIF(Overwash_Matrix!$C:$C,1987)=0,"",COUNTIFS(Overwash_Matrix!$C:$C,1987,Overwash_Matrix!AS:AS,1))</f>
        <v>0</v>
      </c>
      <c r="AN7" s="53">
        <f>IF(COUNTIF(Overwash_Matrix!$C:$C,1987)=0,"",COUNTIFS(Overwash_Matrix!$C:$C,1987,Overwash_Matrix!AT:AT,1))</f>
        <v>0</v>
      </c>
      <c r="AO7" s="53">
        <f>IF(COUNTIF(Overwash_Matrix!$C:$C,1987)=0,"",COUNTIFS(Overwash_Matrix!$C:$C,1987,Overwash_Matrix!AU:AU,1))</f>
        <v>0</v>
      </c>
      <c r="AP7" s="53">
        <f>IF(COUNTIF(Overwash_Matrix!$C:$C,1987)=0,"",COUNTIFS(Overwash_Matrix!$C:$C,1987,Overwash_Matrix!AV:AV,1))</f>
        <v>0</v>
      </c>
      <c r="AQ7" s="53">
        <f>IF(COUNTIF(Overwash_Matrix!$C:$C,1987)=0,"",COUNTIFS(Overwash_Matrix!$C:$C,1987,Overwash_Matrix!AW:AW,1))</f>
        <v>0</v>
      </c>
      <c r="AR7" s="53">
        <f>IF(COUNTIF(Overwash_Matrix!$C:$C,1987)=0,"",COUNTIFS(Overwash_Matrix!$C:$C,1987,Overwash_Matrix!AX:AX,1))</f>
        <v>0</v>
      </c>
      <c r="AS7" s="53">
        <f>IF(COUNTIF(Overwash_Matrix!$C:$C,1987)=0,"",COUNTIFS(Overwash_Matrix!$C:$C,1987,Overwash_Matrix!AY:AY,1))</f>
        <v>0</v>
      </c>
      <c r="AT7" s="53">
        <f>IF(COUNTIF(Overwash_Matrix!$C:$C,1987)=0,"",COUNTIFS(Overwash_Matrix!$C:$C,1987,Overwash_Matrix!AZ:AZ,1))</f>
        <v>0</v>
      </c>
      <c r="AU7" s="53">
        <f>IF(COUNTIF(Overwash_Matrix!$C:$C,1987)=0,"",COUNTIFS(Overwash_Matrix!$C:$C,1987,Overwash_Matrix!BA:BA,1))</f>
        <v>0</v>
      </c>
      <c r="AV7" s="53">
        <f>IF(COUNTIF(Overwash_Matrix!$C:$C,1987)=0,"",COUNTIFS(Overwash_Matrix!$C:$C,1987,Overwash_Matrix!BB:BB,1))</f>
        <v>0</v>
      </c>
      <c r="AW7" s="53">
        <f>IF(COUNTIF(Overwash_Matrix!$C:$C,1987)=0,"",COUNTIFS(Overwash_Matrix!$C:$C,1987,Overwash_Matrix!BC:BC,1))</f>
        <v>0</v>
      </c>
      <c r="AX7" s="53">
        <f>IF(COUNTIF(Overwash_Matrix!$C:$C,1987)=0,"",COUNTIFS(Overwash_Matrix!$C:$C,1987,Overwash_Matrix!BD:BD,1))</f>
        <v>0</v>
      </c>
      <c r="AY7" s="53">
        <f>IF(COUNTIF(Overwash_Matrix!$C:$C,1987)=0,"",COUNTIFS(Overwash_Matrix!$C:$C,1987,Overwash_Matrix!BE:BE,1))</f>
        <v>0</v>
      </c>
      <c r="AZ7" s="53">
        <f>IF(COUNTIF(Overwash_Matrix!$C:$C,1987)=0,"",COUNTIFS(Overwash_Matrix!$C:$C,1987,Overwash_Matrix!BF:BF,1))</f>
        <v>0</v>
      </c>
      <c r="BA7" s="53">
        <f>IF(COUNTIF(Overwash_Matrix!$C:$C,1987)=0,"",COUNTIFS(Overwash_Matrix!$C:$C,1987,Overwash_Matrix!BG:BG,1))</f>
        <v>0</v>
      </c>
      <c r="BB7" s="53">
        <f>IF(COUNTIF(Overwash_Matrix!$C:$C,1987)=0,"",COUNTIFS(Overwash_Matrix!$C:$C,1987,Overwash_Matrix!BH:BH,1))</f>
        <v>0</v>
      </c>
      <c r="BC7" s="53">
        <f>IF(COUNTIF(Overwash_Matrix!$C:$C,1987)=0,"",COUNTIFS(Overwash_Matrix!$C:$C,1987,Overwash_Matrix!BI:BI,1))</f>
        <v>0</v>
      </c>
      <c r="BD7" s="53">
        <f>IF(COUNTIF(Overwash_Matrix!$C:$C,1987)=0,"",COUNTIFS(Overwash_Matrix!$C:$C,1987,Overwash_Matrix!BJ:BJ,1))</f>
        <v>0</v>
      </c>
      <c r="BE7" s="53">
        <f>IF(COUNTIF(Overwash_Matrix!$C:$C,1987)=0,"",COUNTIFS(Overwash_Matrix!$C:$C,1987,Overwash_Matrix!BK:BK,1))</f>
        <v>0</v>
      </c>
      <c r="BF7" s="53">
        <f>IF(COUNTIF(Overwash_Matrix!$C:$C,1987)=0,"",COUNTIFS(Overwash_Matrix!$C:$C,1987,Overwash_Matrix!BL:BL,1))</f>
        <v>0</v>
      </c>
      <c r="BG7" s="53">
        <f>IF(COUNTIF(Overwash_Matrix!$C:$C,1987)=0,"",COUNTIFS(Overwash_Matrix!$C:$C,1987,Overwash_Matrix!BM:BM,1))</f>
        <v>0</v>
      </c>
      <c r="BH7" s="53">
        <f>IF(COUNTIF(Overwash_Matrix!$C:$C,1987)=0,"",COUNTIFS(Overwash_Matrix!$C:$C,1987,Overwash_Matrix!BN:BN,1))</f>
        <v>0</v>
      </c>
      <c r="BI7" s="53">
        <f>IF(COUNTIF(Overwash_Matrix!$C:$C,1987)=0,"",COUNTIFS(Overwash_Matrix!$C:$C,1987,Overwash_Matrix!BO:BO,1))</f>
        <v>0</v>
      </c>
      <c r="BJ7" s="53">
        <f>IF(COUNTIF(Overwash_Matrix!$C:$C,1987)=0,"",COUNTIFS(Overwash_Matrix!$C:$C,1987,Overwash_Matrix!BP:BP,1))</f>
        <v>0</v>
      </c>
      <c r="BK7" s="53">
        <f>IF(COUNTIF(Overwash_Matrix!$C:$C,1987)=0,"",COUNTIFS(Overwash_Matrix!$C:$C,1987,Overwash_Matrix!BQ:BQ,1))</f>
        <v>0</v>
      </c>
      <c r="BL7" s="53">
        <f>IF(COUNTIF(Overwash_Matrix!$C:$C,1987)=0,"",COUNTIFS(Overwash_Matrix!$C:$C,1987,Overwash_Matrix!BR:BR,1))</f>
        <v>0</v>
      </c>
      <c r="BM7" s="53">
        <f>IF(COUNTIF(Overwash_Matrix!$C:$C,1987)=0,"",COUNTIFS(Overwash_Matrix!$C:$C,1987,Overwash_Matrix!BS:BS,1))</f>
        <v>0</v>
      </c>
      <c r="BN7" s="53">
        <f>IF(COUNTIF(Overwash_Matrix!$C:$C,1987)=0,"",COUNTIFS(Overwash_Matrix!$C:$C,1987,Overwash_Matrix!BT:BT,1))</f>
        <v>0</v>
      </c>
      <c r="BO7" s="53">
        <f>IF(COUNTIF(Overwash_Matrix!$C:$C,1987)=0,"",COUNTIFS(Overwash_Matrix!$C:$C,1987,Overwash_Matrix!BU:BU,1))</f>
        <v>0</v>
      </c>
      <c r="BP7" s="53">
        <f>IF(COUNTIF(Overwash_Matrix!$C:$C,1987)=0,"",COUNTIFS(Overwash_Matrix!$C:$C,1987,Overwash_Matrix!BV:BV,1))</f>
        <v>0</v>
      </c>
      <c r="BQ7" s="53">
        <f>IF(COUNTIF(Overwash_Matrix!$C:$C,1987)=0,"",COUNTIFS(Overwash_Matrix!$C:$C,1987,Overwash_Matrix!BW:BW,1))</f>
        <v>0</v>
      </c>
      <c r="BR7" s="53">
        <f>IF(COUNTIF(Overwash_Matrix!$C:$C,1987)=0,"",COUNTIFS(Overwash_Matrix!$C:$C,1987,Overwash_Matrix!BX:BX,1))</f>
        <v>0</v>
      </c>
      <c r="BS7" s="53">
        <f>IF(COUNTIF(Overwash_Matrix!$C:$C,1987)=0,"",COUNTIFS(Overwash_Matrix!$C:$C,1987,Overwash_Matrix!BY:BY,1))</f>
        <v>0</v>
      </c>
      <c r="BT7" s="53">
        <f>IF(COUNTIF(Overwash_Matrix!$C:$C,1987)=0,"",COUNTIFS(Overwash_Matrix!$C:$C,1987,Overwash_Matrix!BZ:BZ,1))</f>
        <v>0</v>
      </c>
      <c r="BU7" s="53">
        <f>IF(COUNTIF(Overwash_Matrix!$C:$C,1987)=0,"",COUNTIFS(Overwash_Matrix!$C:$C,1987,Overwash_Matrix!CA:CA,1))</f>
        <v>0</v>
      </c>
      <c r="BV7" s="53">
        <f>IF(COUNTIF(Overwash_Matrix!$C:$C,1987)=0,"",COUNTIFS(Overwash_Matrix!$C:$C,1987,Overwash_Matrix!CB:CB,1))</f>
        <v>0</v>
      </c>
      <c r="BW7" s="53">
        <f>IF(COUNTIF(Overwash_Matrix!$C:$C,1987)=0,"",COUNTIFS(Overwash_Matrix!$C:$C,1987,Overwash_Matrix!CC:CC,1))</f>
        <v>0</v>
      </c>
      <c r="BX7" s="53">
        <f>IF(COUNTIF(Overwash_Matrix!$C:$C,1987)=0,"",COUNTIFS(Overwash_Matrix!$C:$C,1987,Overwash_Matrix!CD:CD,1))</f>
        <v>0</v>
      </c>
      <c r="BY7" s="53">
        <f>IF(COUNTIF(Overwash_Matrix!$C:$C,1987)=0,"",COUNTIFS(Overwash_Matrix!$C:$C,1987,Overwash_Matrix!CE:CE,1))</f>
        <v>0</v>
      </c>
      <c r="BZ7" s="53">
        <f>IF(COUNTIF(Overwash_Matrix!$C:$C,1987)=0,"",COUNTIFS(Overwash_Matrix!$C:$C,1987,Overwash_Matrix!CF:CF,1))</f>
        <v>0</v>
      </c>
      <c r="CA7" s="53">
        <f>IF(COUNTIF(Overwash_Matrix!$C:$C,1987)=0,"",COUNTIFS(Overwash_Matrix!$C:$C,1987,Overwash_Matrix!CG:CG,1))</f>
        <v>0</v>
      </c>
      <c r="CB7" s="53">
        <f>IF(COUNTIF(Overwash_Matrix!$C:$C,1987)=0,"",COUNTIFS(Overwash_Matrix!$C:$C,1987,Overwash_Matrix!CH:CH,1))</f>
        <v>0</v>
      </c>
      <c r="CC7" s="53">
        <f>IF(COUNTIF(Overwash_Matrix!$C:$C,1987)=0,"",COUNTIFS(Overwash_Matrix!$C:$C,1987,Overwash_Matrix!CI:CI,1))</f>
        <v>0</v>
      </c>
      <c r="CD7" s="53">
        <f>IF(COUNTIF(Overwash_Matrix!$C:$C,1987)=0,"",COUNTIFS(Overwash_Matrix!$C:$C,1987,Overwash_Matrix!CJ:CJ,1))</f>
        <v>0</v>
      </c>
      <c r="CE7" s="53">
        <f>IF(COUNTIF(Overwash_Matrix!$C:$C,1987)=0,"",COUNTIFS(Overwash_Matrix!$C:$C,1987,Overwash_Matrix!CK:CK,1))</f>
        <v>0</v>
      </c>
      <c r="CF7" s="53">
        <f>IF(COUNTIF(Overwash_Matrix!$C:$C,1987)=0,"",COUNTIFS(Overwash_Matrix!$C:$C,1987,Overwash_Matrix!CL:CL,1))</f>
        <v>0</v>
      </c>
      <c r="CG7" s="53">
        <f>IF(COUNTIF(Overwash_Matrix!$C:$C,1987)=0,"",COUNTIFS(Overwash_Matrix!$C:$C,1987,Overwash_Matrix!CM:CM,1))</f>
        <v>0</v>
      </c>
      <c r="CH7" s="53">
        <f>IF(COUNTIF(Overwash_Matrix!$C:$C,1987)=0,"",COUNTIFS(Overwash_Matrix!$C:$C,1987,Overwash_Matrix!CN:CN,1))</f>
        <v>0</v>
      </c>
      <c r="CI7" s="53">
        <f>IF(COUNTIF(Overwash_Matrix!$C:$C,1987)=0,"",COUNTIFS(Overwash_Matrix!$C:$C,1987,Overwash_Matrix!CO:CO,1))</f>
        <v>0</v>
      </c>
      <c r="CJ7" s="53">
        <f>IF(COUNTIF(Overwash_Matrix!$C:$C,1987)=0,"",COUNTIFS(Overwash_Matrix!$C:$C,1987,Overwash_Matrix!CP:CP,1))</f>
        <v>0</v>
      </c>
      <c r="CK7" s="53">
        <f>IF(COUNTIF(Overwash_Matrix!$C:$C,1987)=0,"",COUNTIFS(Overwash_Matrix!$C:$C,1987,Overwash_Matrix!CQ:CQ,1))</f>
        <v>0</v>
      </c>
      <c r="CL7" s="53">
        <f>IF(COUNTIF(Overwash_Matrix!$C:$C,1987)=0,"",COUNTIFS(Overwash_Matrix!$C:$C,1987,Overwash_Matrix!CR:CR,1))</f>
        <v>0</v>
      </c>
      <c r="CM7" s="53">
        <f>IF(COUNTIF(Overwash_Matrix!$C:$C,1987)=0,"",COUNTIFS(Overwash_Matrix!$C:$C,1987,Overwash_Matrix!CS:CS,1))</f>
        <v>0</v>
      </c>
      <c r="CN7" s="53">
        <f>IF(COUNTIF(Overwash_Matrix!$C:$C,1987)=0,"",COUNTIFS(Overwash_Matrix!$C:$C,1987,Overwash_Matrix!CT:CT,1))</f>
        <v>0</v>
      </c>
    </row>
    <row r="8" ht="13.5" customHeight="1">
      <c r="A8" s="86">
        <v>1988.0</v>
      </c>
      <c r="B8" s="87">
        <f>COUNTIF(Overwash_Matrix!$C:$C,1988)</f>
        <v>0</v>
      </c>
      <c r="C8" s="57" t="str">
        <f>IF(COUNTIF(Overwash_Matrix!$C:$C,1988)=0,"",COUNTIFS(Overwash_Matrix!$C:$C,1988,Overwash_Matrix!I:I,1))</f>
        <v/>
      </c>
      <c r="D8" s="57" t="str">
        <f>IF(COUNTIF(Overwash_Matrix!$C:$C,1988)=0,"",COUNTIFS(Overwash_Matrix!$C:$C,1988,Overwash_Matrix!J:J,1))</f>
        <v/>
      </c>
      <c r="E8" s="57" t="str">
        <f>IF(COUNTIF(Overwash_Matrix!$C:$C,1988)=0,"",COUNTIFS(Overwash_Matrix!$C:$C,1988,Overwash_Matrix!K:K,1))</f>
        <v/>
      </c>
      <c r="F8" s="57" t="str">
        <f>IF(COUNTIF(Overwash_Matrix!$C:$C,1988)=0,"",COUNTIFS(Overwash_Matrix!$C:$C,1988,Overwash_Matrix!L:L,1))</f>
        <v/>
      </c>
      <c r="G8" s="57" t="str">
        <f>IF(COUNTIF(Overwash_Matrix!$C:$C,1988)=0,"",COUNTIFS(Overwash_Matrix!$C:$C,1988,Overwash_Matrix!M:M,1))</f>
        <v/>
      </c>
      <c r="H8" s="57" t="str">
        <f>IF(COUNTIF(Overwash_Matrix!$C:$C,1988)=0,"",COUNTIFS(Overwash_Matrix!$C:$C,1988,Overwash_Matrix!N:N,1))</f>
        <v/>
      </c>
      <c r="I8" s="57" t="str">
        <f>IF(COUNTIF(Overwash_Matrix!$C:$C,1988)=0,"",COUNTIFS(Overwash_Matrix!$C:$C,1988,Overwash_Matrix!O:O,1))</f>
        <v/>
      </c>
      <c r="J8" s="57" t="str">
        <f>IF(COUNTIF(Overwash_Matrix!$C:$C,1988)=0,"",COUNTIFS(Overwash_Matrix!$C:$C,1988,Overwash_Matrix!P:P,1))</f>
        <v/>
      </c>
      <c r="K8" s="57" t="str">
        <f>IF(COUNTIF(Overwash_Matrix!$C:$C,1988)=0,"",COUNTIFS(Overwash_Matrix!$C:$C,1988,Overwash_Matrix!Q:Q,1))</f>
        <v/>
      </c>
      <c r="L8" s="57" t="str">
        <f>IF(COUNTIF(Overwash_Matrix!$C:$C,1988)=0,"",COUNTIFS(Overwash_Matrix!$C:$C,1988,Overwash_Matrix!R:R,1))</f>
        <v/>
      </c>
      <c r="M8" s="57" t="str">
        <f>IF(COUNTIF(Overwash_Matrix!$C:$C,1988)=0,"",COUNTIFS(Overwash_Matrix!$C:$C,1988,Overwash_Matrix!S:S,1))</f>
        <v/>
      </c>
      <c r="N8" s="57" t="str">
        <f>IF(COUNTIF(Overwash_Matrix!$C:$C,1988)=0,"",COUNTIFS(Overwash_Matrix!$C:$C,1988,Overwash_Matrix!T:T,1))</f>
        <v/>
      </c>
      <c r="O8" s="57" t="str">
        <f>IF(COUNTIF(Overwash_Matrix!$C:$C,1988)=0,"",COUNTIFS(Overwash_Matrix!$C:$C,1988,Overwash_Matrix!U:U,1))</f>
        <v/>
      </c>
      <c r="P8" s="57" t="str">
        <f>IF(COUNTIF(Overwash_Matrix!$C:$C,1988)=0,"",COUNTIFS(Overwash_Matrix!$C:$C,1988,Overwash_Matrix!V:V,1))</f>
        <v/>
      </c>
      <c r="Q8" s="57" t="str">
        <f>IF(COUNTIF(Overwash_Matrix!$C:$C,1988)=0,"",COUNTIFS(Overwash_Matrix!$C:$C,1988,Overwash_Matrix!W:W,1))</f>
        <v/>
      </c>
      <c r="R8" s="57" t="str">
        <f>IF(COUNTIF(Overwash_Matrix!$C:$C,1988)=0,"",COUNTIFS(Overwash_Matrix!$C:$C,1988,Overwash_Matrix!X:X,1))</f>
        <v/>
      </c>
      <c r="S8" s="57" t="str">
        <f>IF(COUNTIF(Overwash_Matrix!$C:$C,1988)=0,"",COUNTIFS(Overwash_Matrix!$C:$C,1988,Overwash_Matrix!Y:Y,1))</f>
        <v/>
      </c>
      <c r="T8" s="57" t="str">
        <f>IF(COUNTIF(Overwash_Matrix!$C:$C,1988)=0,"",COUNTIFS(Overwash_Matrix!$C:$C,1988,Overwash_Matrix!Z:Z,1))</f>
        <v/>
      </c>
      <c r="U8" s="57" t="str">
        <f>IF(COUNTIF(Overwash_Matrix!$C:$C,1988)=0,"",COUNTIFS(Overwash_Matrix!$C:$C,1988,Overwash_Matrix!AA:AA,1))</f>
        <v/>
      </c>
      <c r="V8" s="57" t="str">
        <f>IF(COUNTIF(Overwash_Matrix!$C:$C,1988)=0,"",COUNTIFS(Overwash_Matrix!$C:$C,1988,Overwash_Matrix!AB:AB,1))</f>
        <v/>
      </c>
      <c r="W8" s="57" t="str">
        <f>IF(COUNTIF(Overwash_Matrix!$C:$C,1988)=0,"",COUNTIFS(Overwash_Matrix!$C:$C,1988,Overwash_Matrix!AC:AC,1))</f>
        <v/>
      </c>
      <c r="X8" s="57" t="str">
        <f>IF(COUNTIF(Overwash_Matrix!$C:$C,1988)=0,"",COUNTIFS(Overwash_Matrix!$C:$C,1988,Overwash_Matrix!AD:AD,1))</f>
        <v/>
      </c>
      <c r="Y8" s="57" t="str">
        <f>IF(COUNTIF(Overwash_Matrix!$C:$C,1988)=0,"",COUNTIFS(Overwash_Matrix!$C:$C,1988,Overwash_Matrix!AE:AE,1))</f>
        <v/>
      </c>
      <c r="Z8" s="57" t="str">
        <f>IF(COUNTIF(Overwash_Matrix!$C:$C,1988)=0,"",COUNTIFS(Overwash_Matrix!$C:$C,1988,Overwash_Matrix!AF:AF,1))</f>
        <v/>
      </c>
      <c r="AA8" s="57" t="str">
        <f>IF(COUNTIF(Overwash_Matrix!$C:$C,1988)=0,"",COUNTIFS(Overwash_Matrix!$C:$C,1988,Overwash_Matrix!AG:AG,1))</f>
        <v/>
      </c>
      <c r="AB8" s="57" t="str">
        <f>IF(COUNTIF(Overwash_Matrix!$C:$C,1988)=0,"",COUNTIFS(Overwash_Matrix!$C:$C,1988,Overwash_Matrix!AH:AH,1))</f>
        <v/>
      </c>
      <c r="AC8" s="57" t="str">
        <f>IF(COUNTIF(Overwash_Matrix!$C:$C,1988)=0,"",COUNTIFS(Overwash_Matrix!$C:$C,1988,Overwash_Matrix!AI:AI,1))</f>
        <v/>
      </c>
      <c r="AD8" s="57" t="str">
        <f>IF(COUNTIF(Overwash_Matrix!$C:$C,1988)=0,"",COUNTIFS(Overwash_Matrix!$C:$C,1988,Overwash_Matrix!AJ:AJ,1))</f>
        <v/>
      </c>
      <c r="AE8" s="57" t="str">
        <f>IF(COUNTIF(Overwash_Matrix!$C:$C,1988)=0,"",COUNTIFS(Overwash_Matrix!$C:$C,1988,Overwash_Matrix!AK:AK,1))</f>
        <v/>
      </c>
      <c r="AF8" s="57" t="str">
        <f>IF(COUNTIF(Overwash_Matrix!$C:$C,1988)=0,"",COUNTIFS(Overwash_Matrix!$C:$C,1988,Overwash_Matrix!AL:AL,1))</f>
        <v/>
      </c>
      <c r="AG8" s="57" t="str">
        <f>IF(COUNTIF(Overwash_Matrix!$C:$C,1988)=0,"",COUNTIFS(Overwash_Matrix!$C:$C,1988,Overwash_Matrix!AM:AM,1))</f>
        <v/>
      </c>
      <c r="AH8" s="57" t="str">
        <f>IF(COUNTIF(Overwash_Matrix!$C:$C,1988)=0,"",COUNTIFS(Overwash_Matrix!$C:$C,1988,Overwash_Matrix!AN:AN,1))</f>
        <v/>
      </c>
      <c r="AI8" s="57" t="str">
        <f>IF(COUNTIF(Overwash_Matrix!$C:$C,1988)=0,"",COUNTIFS(Overwash_Matrix!$C:$C,1988,Overwash_Matrix!AO:AO,1))</f>
        <v/>
      </c>
      <c r="AJ8" s="57" t="str">
        <f>IF(COUNTIF(Overwash_Matrix!$C:$C,1988)=0,"",COUNTIFS(Overwash_Matrix!$C:$C,1988,Overwash_Matrix!AP:AP,1))</f>
        <v/>
      </c>
      <c r="AK8" s="57" t="str">
        <f>IF(COUNTIF(Overwash_Matrix!$C:$C,1988)=0,"",COUNTIFS(Overwash_Matrix!$C:$C,1988,Overwash_Matrix!AQ:AQ,1))</f>
        <v/>
      </c>
      <c r="AL8" s="57" t="str">
        <f>IF(COUNTIF(Overwash_Matrix!$C:$C,1988)=0,"",COUNTIFS(Overwash_Matrix!$C:$C,1988,Overwash_Matrix!AR:AR,1))</f>
        <v/>
      </c>
      <c r="AM8" s="57" t="str">
        <f>IF(COUNTIF(Overwash_Matrix!$C:$C,1988)=0,"",COUNTIFS(Overwash_Matrix!$C:$C,1988,Overwash_Matrix!AS:AS,1))</f>
        <v/>
      </c>
      <c r="AN8" s="57" t="str">
        <f>IF(COUNTIF(Overwash_Matrix!$C:$C,1988)=0,"",COUNTIFS(Overwash_Matrix!$C:$C,1988,Overwash_Matrix!AT:AT,1))</f>
        <v/>
      </c>
      <c r="AO8" s="57" t="str">
        <f>IF(COUNTIF(Overwash_Matrix!$C:$C,1988)=0,"",COUNTIFS(Overwash_Matrix!$C:$C,1988,Overwash_Matrix!AU:AU,1))</f>
        <v/>
      </c>
      <c r="AP8" s="57" t="str">
        <f>IF(COUNTIF(Overwash_Matrix!$C:$C,1988)=0,"",COUNTIFS(Overwash_Matrix!$C:$C,1988,Overwash_Matrix!AV:AV,1))</f>
        <v/>
      </c>
      <c r="AQ8" s="57" t="str">
        <f>IF(COUNTIF(Overwash_Matrix!$C:$C,1988)=0,"",COUNTIFS(Overwash_Matrix!$C:$C,1988,Overwash_Matrix!AW:AW,1))</f>
        <v/>
      </c>
      <c r="AR8" s="57" t="str">
        <f>IF(COUNTIF(Overwash_Matrix!$C:$C,1988)=0,"",COUNTIFS(Overwash_Matrix!$C:$C,1988,Overwash_Matrix!AX:AX,1))</f>
        <v/>
      </c>
      <c r="AS8" s="57" t="str">
        <f>IF(COUNTIF(Overwash_Matrix!$C:$C,1988)=0,"",COUNTIFS(Overwash_Matrix!$C:$C,1988,Overwash_Matrix!AY:AY,1))</f>
        <v/>
      </c>
      <c r="AT8" s="57" t="str">
        <f>IF(COUNTIF(Overwash_Matrix!$C:$C,1988)=0,"",COUNTIFS(Overwash_Matrix!$C:$C,1988,Overwash_Matrix!AZ:AZ,1))</f>
        <v/>
      </c>
      <c r="AU8" s="57" t="str">
        <f>IF(COUNTIF(Overwash_Matrix!$C:$C,1988)=0,"",COUNTIFS(Overwash_Matrix!$C:$C,1988,Overwash_Matrix!BA:BA,1))</f>
        <v/>
      </c>
      <c r="AV8" s="57" t="str">
        <f>IF(COUNTIF(Overwash_Matrix!$C:$C,1988)=0,"",COUNTIFS(Overwash_Matrix!$C:$C,1988,Overwash_Matrix!BB:BB,1))</f>
        <v/>
      </c>
      <c r="AW8" s="57" t="str">
        <f>IF(COUNTIF(Overwash_Matrix!$C:$C,1988)=0,"",COUNTIFS(Overwash_Matrix!$C:$C,1988,Overwash_Matrix!BC:BC,1))</f>
        <v/>
      </c>
      <c r="AX8" s="57" t="str">
        <f>IF(COUNTIF(Overwash_Matrix!$C:$C,1988)=0,"",COUNTIFS(Overwash_Matrix!$C:$C,1988,Overwash_Matrix!BD:BD,1))</f>
        <v/>
      </c>
      <c r="AY8" s="57" t="str">
        <f>IF(COUNTIF(Overwash_Matrix!$C:$C,1988)=0,"",COUNTIFS(Overwash_Matrix!$C:$C,1988,Overwash_Matrix!BE:BE,1))</f>
        <v/>
      </c>
      <c r="AZ8" s="57" t="str">
        <f>IF(COUNTIF(Overwash_Matrix!$C:$C,1988)=0,"",COUNTIFS(Overwash_Matrix!$C:$C,1988,Overwash_Matrix!BF:BF,1))</f>
        <v/>
      </c>
      <c r="BA8" s="57" t="str">
        <f>IF(COUNTIF(Overwash_Matrix!$C:$C,1988)=0,"",COUNTIFS(Overwash_Matrix!$C:$C,1988,Overwash_Matrix!BG:BG,1))</f>
        <v/>
      </c>
      <c r="BB8" s="57" t="str">
        <f>IF(COUNTIF(Overwash_Matrix!$C:$C,1988)=0,"",COUNTIFS(Overwash_Matrix!$C:$C,1988,Overwash_Matrix!BH:BH,1))</f>
        <v/>
      </c>
      <c r="BC8" s="57" t="str">
        <f>IF(COUNTIF(Overwash_Matrix!$C:$C,1988)=0,"",COUNTIFS(Overwash_Matrix!$C:$C,1988,Overwash_Matrix!BI:BI,1))</f>
        <v/>
      </c>
      <c r="BD8" s="57" t="str">
        <f>IF(COUNTIF(Overwash_Matrix!$C:$C,1988)=0,"",COUNTIFS(Overwash_Matrix!$C:$C,1988,Overwash_Matrix!BJ:BJ,1))</f>
        <v/>
      </c>
      <c r="BE8" s="57" t="str">
        <f>IF(COUNTIF(Overwash_Matrix!$C:$C,1988)=0,"",COUNTIFS(Overwash_Matrix!$C:$C,1988,Overwash_Matrix!BK:BK,1))</f>
        <v/>
      </c>
      <c r="BF8" s="57" t="str">
        <f>IF(COUNTIF(Overwash_Matrix!$C:$C,1988)=0,"",COUNTIFS(Overwash_Matrix!$C:$C,1988,Overwash_Matrix!BL:BL,1))</f>
        <v/>
      </c>
      <c r="BG8" s="57" t="str">
        <f>IF(COUNTIF(Overwash_Matrix!$C:$C,1988)=0,"",COUNTIFS(Overwash_Matrix!$C:$C,1988,Overwash_Matrix!BM:BM,1))</f>
        <v/>
      </c>
      <c r="BH8" s="57" t="str">
        <f>IF(COUNTIF(Overwash_Matrix!$C:$C,1988)=0,"",COUNTIFS(Overwash_Matrix!$C:$C,1988,Overwash_Matrix!BN:BN,1))</f>
        <v/>
      </c>
      <c r="BI8" s="57" t="str">
        <f>IF(COUNTIF(Overwash_Matrix!$C:$C,1988)=0,"",COUNTIFS(Overwash_Matrix!$C:$C,1988,Overwash_Matrix!BO:BO,1))</f>
        <v/>
      </c>
      <c r="BJ8" s="57" t="str">
        <f>IF(COUNTIF(Overwash_Matrix!$C:$C,1988)=0,"",COUNTIFS(Overwash_Matrix!$C:$C,1988,Overwash_Matrix!BP:BP,1))</f>
        <v/>
      </c>
      <c r="BK8" s="57" t="str">
        <f>IF(COUNTIF(Overwash_Matrix!$C:$C,1988)=0,"",COUNTIFS(Overwash_Matrix!$C:$C,1988,Overwash_Matrix!BQ:BQ,1))</f>
        <v/>
      </c>
      <c r="BL8" s="57" t="str">
        <f>IF(COUNTIF(Overwash_Matrix!$C:$C,1988)=0,"",COUNTIFS(Overwash_Matrix!$C:$C,1988,Overwash_Matrix!BR:BR,1))</f>
        <v/>
      </c>
      <c r="BM8" s="57" t="str">
        <f>IF(COUNTIF(Overwash_Matrix!$C:$C,1988)=0,"",COUNTIFS(Overwash_Matrix!$C:$C,1988,Overwash_Matrix!BS:BS,1))</f>
        <v/>
      </c>
      <c r="BN8" s="57" t="str">
        <f>IF(COUNTIF(Overwash_Matrix!$C:$C,1988)=0,"",COUNTIFS(Overwash_Matrix!$C:$C,1988,Overwash_Matrix!BT:BT,1))</f>
        <v/>
      </c>
      <c r="BO8" s="57" t="str">
        <f>IF(COUNTIF(Overwash_Matrix!$C:$C,1988)=0,"",COUNTIFS(Overwash_Matrix!$C:$C,1988,Overwash_Matrix!BU:BU,1))</f>
        <v/>
      </c>
      <c r="BP8" s="57" t="str">
        <f>IF(COUNTIF(Overwash_Matrix!$C:$C,1988)=0,"",COUNTIFS(Overwash_Matrix!$C:$C,1988,Overwash_Matrix!BV:BV,1))</f>
        <v/>
      </c>
      <c r="BQ8" s="57" t="str">
        <f>IF(COUNTIF(Overwash_Matrix!$C:$C,1988)=0,"",COUNTIFS(Overwash_Matrix!$C:$C,1988,Overwash_Matrix!BW:BW,1))</f>
        <v/>
      </c>
      <c r="BR8" s="57" t="str">
        <f>IF(COUNTIF(Overwash_Matrix!$C:$C,1988)=0,"",COUNTIFS(Overwash_Matrix!$C:$C,1988,Overwash_Matrix!BX:BX,1))</f>
        <v/>
      </c>
      <c r="BS8" s="57" t="str">
        <f>IF(COUNTIF(Overwash_Matrix!$C:$C,1988)=0,"",COUNTIFS(Overwash_Matrix!$C:$C,1988,Overwash_Matrix!BY:BY,1))</f>
        <v/>
      </c>
      <c r="BT8" s="57" t="str">
        <f>IF(COUNTIF(Overwash_Matrix!$C:$C,1988)=0,"",COUNTIFS(Overwash_Matrix!$C:$C,1988,Overwash_Matrix!BZ:BZ,1))</f>
        <v/>
      </c>
      <c r="BU8" s="57" t="str">
        <f>IF(COUNTIF(Overwash_Matrix!$C:$C,1988)=0,"",COUNTIFS(Overwash_Matrix!$C:$C,1988,Overwash_Matrix!CA:CA,1))</f>
        <v/>
      </c>
      <c r="BV8" s="57" t="str">
        <f>IF(COUNTIF(Overwash_Matrix!$C:$C,1988)=0,"",COUNTIFS(Overwash_Matrix!$C:$C,1988,Overwash_Matrix!CB:CB,1))</f>
        <v/>
      </c>
      <c r="BW8" s="57" t="str">
        <f>IF(COUNTIF(Overwash_Matrix!$C:$C,1988)=0,"",COUNTIFS(Overwash_Matrix!$C:$C,1988,Overwash_Matrix!CC:CC,1))</f>
        <v/>
      </c>
      <c r="BX8" s="57" t="str">
        <f>IF(COUNTIF(Overwash_Matrix!$C:$C,1988)=0,"",COUNTIFS(Overwash_Matrix!$C:$C,1988,Overwash_Matrix!CD:CD,1))</f>
        <v/>
      </c>
      <c r="BY8" s="57" t="str">
        <f>IF(COUNTIF(Overwash_Matrix!$C:$C,1988)=0,"",COUNTIFS(Overwash_Matrix!$C:$C,1988,Overwash_Matrix!CE:CE,1))</f>
        <v/>
      </c>
      <c r="BZ8" s="57" t="str">
        <f>IF(COUNTIF(Overwash_Matrix!$C:$C,1988)=0,"",COUNTIFS(Overwash_Matrix!$C:$C,1988,Overwash_Matrix!CF:CF,1))</f>
        <v/>
      </c>
      <c r="CA8" s="57" t="str">
        <f>IF(COUNTIF(Overwash_Matrix!$C:$C,1988)=0,"",COUNTIFS(Overwash_Matrix!$C:$C,1988,Overwash_Matrix!CG:CG,1))</f>
        <v/>
      </c>
      <c r="CB8" s="57" t="str">
        <f>IF(COUNTIF(Overwash_Matrix!$C:$C,1988)=0,"",COUNTIFS(Overwash_Matrix!$C:$C,1988,Overwash_Matrix!CH:CH,1))</f>
        <v/>
      </c>
      <c r="CC8" s="57" t="str">
        <f>IF(COUNTIF(Overwash_Matrix!$C:$C,1988)=0,"",COUNTIFS(Overwash_Matrix!$C:$C,1988,Overwash_Matrix!CI:CI,1))</f>
        <v/>
      </c>
      <c r="CD8" s="57" t="str">
        <f>IF(COUNTIF(Overwash_Matrix!$C:$C,1988)=0,"",COUNTIFS(Overwash_Matrix!$C:$C,1988,Overwash_Matrix!CJ:CJ,1))</f>
        <v/>
      </c>
      <c r="CE8" s="57" t="str">
        <f>IF(COUNTIF(Overwash_Matrix!$C:$C,1988)=0,"",COUNTIFS(Overwash_Matrix!$C:$C,1988,Overwash_Matrix!CK:CK,1))</f>
        <v/>
      </c>
      <c r="CF8" s="57" t="str">
        <f>IF(COUNTIF(Overwash_Matrix!$C:$C,1988)=0,"",COUNTIFS(Overwash_Matrix!$C:$C,1988,Overwash_Matrix!CL:CL,1))</f>
        <v/>
      </c>
      <c r="CG8" s="57" t="str">
        <f>IF(COUNTIF(Overwash_Matrix!$C:$C,1988)=0,"",COUNTIFS(Overwash_Matrix!$C:$C,1988,Overwash_Matrix!CM:CM,1))</f>
        <v/>
      </c>
      <c r="CH8" s="57" t="str">
        <f>IF(COUNTIF(Overwash_Matrix!$C:$C,1988)=0,"",COUNTIFS(Overwash_Matrix!$C:$C,1988,Overwash_Matrix!CN:CN,1))</f>
        <v/>
      </c>
      <c r="CI8" s="57" t="str">
        <f>IF(COUNTIF(Overwash_Matrix!$C:$C,1988)=0,"",COUNTIFS(Overwash_Matrix!$C:$C,1988,Overwash_Matrix!CO:CO,1))</f>
        <v/>
      </c>
      <c r="CJ8" s="57" t="str">
        <f>IF(COUNTIF(Overwash_Matrix!$C:$C,1988)=0,"",COUNTIFS(Overwash_Matrix!$C:$C,1988,Overwash_Matrix!CP:CP,1))</f>
        <v/>
      </c>
      <c r="CK8" s="57" t="str">
        <f>IF(COUNTIF(Overwash_Matrix!$C:$C,1988)=0,"",COUNTIFS(Overwash_Matrix!$C:$C,1988,Overwash_Matrix!CQ:CQ,1))</f>
        <v/>
      </c>
      <c r="CL8" s="57" t="str">
        <f>IF(COUNTIF(Overwash_Matrix!$C:$C,1988)=0,"",COUNTIFS(Overwash_Matrix!$C:$C,1988,Overwash_Matrix!CR:CR,1))</f>
        <v/>
      </c>
      <c r="CM8" s="57" t="str">
        <f>IF(COUNTIF(Overwash_Matrix!$C:$C,1988)=0,"",COUNTIFS(Overwash_Matrix!$C:$C,1988,Overwash_Matrix!CS:CS,1))</f>
        <v/>
      </c>
      <c r="CN8" s="57" t="str">
        <f>IF(COUNTIF(Overwash_Matrix!$C:$C,1988)=0,"",COUNTIFS(Overwash_Matrix!$C:$C,1988,Overwash_Matrix!CT:CT,1))</f>
        <v/>
      </c>
    </row>
    <row r="9" ht="13.5" customHeight="1">
      <c r="A9" s="88">
        <v>1989.0</v>
      </c>
      <c r="B9" s="89">
        <f>COUNTIF(Overwash_Matrix!$C:$C,1989)</f>
        <v>1</v>
      </c>
      <c r="C9" s="53">
        <f>IF(COUNTIF(Overwash_Matrix!$C:$C,1989)=0,"",COUNTIFS(Overwash_Matrix!$C:$C,1989,Overwash_Matrix!I:I,1))</f>
        <v>0</v>
      </c>
      <c r="D9" s="53">
        <f>IF(COUNTIF(Overwash_Matrix!$C:$C,1989)=0,"",COUNTIFS(Overwash_Matrix!$C:$C,1989,Overwash_Matrix!J:J,1))</f>
        <v>0</v>
      </c>
      <c r="E9" s="53">
        <f>IF(COUNTIF(Overwash_Matrix!$C:$C,1989)=0,"",COUNTIFS(Overwash_Matrix!$C:$C,1989,Overwash_Matrix!K:K,1))</f>
        <v>0</v>
      </c>
      <c r="F9" s="53">
        <f>IF(COUNTIF(Overwash_Matrix!$C:$C,1989)=0,"",COUNTIFS(Overwash_Matrix!$C:$C,1989,Overwash_Matrix!L:L,1))</f>
        <v>0</v>
      </c>
      <c r="G9" s="53">
        <f>IF(COUNTIF(Overwash_Matrix!$C:$C,1989)=0,"",COUNTIFS(Overwash_Matrix!$C:$C,1989,Overwash_Matrix!M:M,1))</f>
        <v>0</v>
      </c>
      <c r="H9" s="53">
        <f>IF(COUNTIF(Overwash_Matrix!$C:$C,1989)=0,"",COUNTIFS(Overwash_Matrix!$C:$C,1989,Overwash_Matrix!N:N,1))</f>
        <v>0</v>
      </c>
      <c r="I9" s="53">
        <f>IF(COUNTIF(Overwash_Matrix!$C:$C,1989)=0,"",COUNTIFS(Overwash_Matrix!$C:$C,1989,Overwash_Matrix!O:O,1))</f>
        <v>0</v>
      </c>
      <c r="J9" s="53">
        <f>IF(COUNTIF(Overwash_Matrix!$C:$C,1989)=0,"",COUNTIFS(Overwash_Matrix!$C:$C,1989,Overwash_Matrix!P:P,1))</f>
        <v>0</v>
      </c>
      <c r="K9" s="53">
        <f>IF(COUNTIF(Overwash_Matrix!$C:$C,1989)=0,"",COUNTIFS(Overwash_Matrix!$C:$C,1989,Overwash_Matrix!Q:Q,1))</f>
        <v>0</v>
      </c>
      <c r="L9" s="53">
        <f>IF(COUNTIF(Overwash_Matrix!$C:$C,1989)=0,"",COUNTIFS(Overwash_Matrix!$C:$C,1989,Overwash_Matrix!R:R,1))</f>
        <v>0</v>
      </c>
      <c r="M9" s="53">
        <f>IF(COUNTIF(Overwash_Matrix!$C:$C,1989)=0,"",COUNTIFS(Overwash_Matrix!$C:$C,1989,Overwash_Matrix!S:S,1))</f>
        <v>0</v>
      </c>
      <c r="N9" s="53">
        <f>IF(COUNTIF(Overwash_Matrix!$C:$C,1989)=0,"",COUNTIFS(Overwash_Matrix!$C:$C,1989,Overwash_Matrix!T:T,1))</f>
        <v>0</v>
      </c>
      <c r="O9" s="53">
        <f>IF(COUNTIF(Overwash_Matrix!$C:$C,1989)=0,"",COUNTIFS(Overwash_Matrix!$C:$C,1989,Overwash_Matrix!U:U,1))</f>
        <v>0</v>
      </c>
      <c r="P9" s="53">
        <f>IF(COUNTIF(Overwash_Matrix!$C:$C,1989)=0,"",COUNTIFS(Overwash_Matrix!$C:$C,1989,Overwash_Matrix!V:V,1))</f>
        <v>0</v>
      </c>
      <c r="Q9" s="53">
        <f>IF(COUNTIF(Overwash_Matrix!$C:$C,1989)=0,"",COUNTIFS(Overwash_Matrix!$C:$C,1989,Overwash_Matrix!W:W,1))</f>
        <v>0</v>
      </c>
      <c r="R9" s="53">
        <f>IF(COUNTIF(Overwash_Matrix!$C:$C,1989)=0,"",COUNTIFS(Overwash_Matrix!$C:$C,1989,Overwash_Matrix!X:X,1))</f>
        <v>0</v>
      </c>
      <c r="S9" s="53">
        <f>IF(COUNTIF(Overwash_Matrix!$C:$C,1989)=0,"",COUNTIFS(Overwash_Matrix!$C:$C,1989,Overwash_Matrix!Y:Y,1))</f>
        <v>0</v>
      </c>
      <c r="T9" s="53">
        <f>IF(COUNTIF(Overwash_Matrix!$C:$C,1989)=0,"",COUNTIFS(Overwash_Matrix!$C:$C,1989,Overwash_Matrix!Z:Z,1))</f>
        <v>0</v>
      </c>
      <c r="U9" s="53">
        <f>IF(COUNTIF(Overwash_Matrix!$C:$C,1989)=0,"",COUNTIFS(Overwash_Matrix!$C:$C,1989,Overwash_Matrix!AA:AA,1))</f>
        <v>0</v>
      </c>
      <c r="V9" s="53">
        <f>IF(COUNTIF(Overwash_Matrix!$C:$C,1989)=0,"",COUNTIFS(Overwash_Matrix!$C:$C,1989,Overwash_Matrix!AB:AB,1))</f>
        <v>0</v>
      </c>
      <c r="W9" s="53">
        <f>IF(COUNTIF(Overwash_Matrix!$C:$C,1989)=0,"",COUNTIFS(Overwash_Matrix!$C:$C,1989,Overwash_Matrix!AC:AC,1))</f>
        <v>0</v>
      </c>
      <c r="X9" s="53">
        <f>IF(COUNTIF(Overwash_Matrix!$C:$C,1989)=0,"",COUNTIFS(Overwash_Matrix!$C:$C,1989,Overwash_Matrix!AD:AD,1))</f>
        <v>0</v>
      </c>
      <c r="Y9" s="53">
        <f>IF(COUNTIF(Overwash_Matrix!$C:$C,1989)=0,"",COUNTIFS(Overwash_Matrix!$C:$C,1989,Overwash_Matrix!AE:AE,1))</f>
        <v>0</v>
      </c>
      <c r="Z9" s="53">
        <f>IF(COUNTIF(Overwash_Matrix!$C:$C,1989)=0,"",COUNTIFS(Overwash_Matrix!$C:$C,1989,Overwash_Matrix!AF:AF,1))</f>
        <v>0</v>
      </c>
      <c r="AA9" s="53">
        <f>IF(COUNTIF(Overwash_Matrix!$C:$C,1989)=0,"",COUNTIFS(Overwash_Matrix!$C:$C,1989,Overwash_Matrix!AG:AG,1))</f>
        <v>0</v>
      </c>
      <c r="AB9" s="53">
        <f>IF(COUNTIF(Overwash_Matrix!$C:$C,1989)=0,"",COUNTIFS(Overwash_Matrix!$C:$C,1989,Overwash_Matrix!AH:AH,1))</f>
        <v>0</v>
      </c>
      <c r="AC9" s="53">
        <f>IF(COUNTIF(Overwash_Matrix!$C:$C,1989)=0,"",COUNTIFS(Overwash_Matrix!$C:$C,1989,Overwash_Matrix!AI:AI,1))</f>
        <v>0</v>
      </c>
      <c r="AD9" s="53">
        <f>IF(COUNTIF(Overwash_Matrix!$C:$C,1989)=0,"",COUNTIFS(Overwash_Matrix!$C:$C,1989,Overwash_Matrix!AJ:AJ,1))</f>
        <v>0</v>
      </c>
      <c r="AE9" s="53">
        <f>IF(COUNTIF(Overwash_Matrix!$C:$C,1989)=0,"",COUNTIFS(Overwash_Matrix!$C:$C,1989,Overwash_Matrix!AK:AK,1))</f>
        <v>0</v>
      </c>
      <c r="AF9" s="53">
        <f>IF(COUNTIF(Overwash_Matrix!$C:$C,1989)=0,"",COUNTIFS(Overwash_Matrix!$C:$C,1989,Overwash_Matrix!AL:AL,1))</f>
        <v>0</v>
      </c>
      <c r="AG9" s="53">
        <f>IF(COUNTIF(Overwash_Matrix!$C:$C,1989)=0,"",COUNTIFS(Overwash_Matrix!$C:$C,1989,Overwash_Matrix!AM:AM,1))</f>
        <v>0</v>
      </c>
      <c r="AH9" s="53">
        <f>IF(COUNTIF(Overwash_Matrix!$C:$C,1989)=0,"",COUNTIFS(Overwash_Matrix!$C:$C,1989,Overwash_Matrix!AN:AN,1))</f>
        <v>0</v>
      </c>
      <c r="AI9" s="53">
        <f>IF(COUNTIF(Overwash_Matrix!$C:$C,1989)=0,"",COUNTIFS(Overwash_Matrix!$C:$C,1989,Overwash_Matrix!AO:AO,1))</f>
        <v>0</v>
      </c>
      <c r="AJ9" s="53">
        <f>IF(COUNTIF(Overwash_Matrix!$C:$C,1989)=0,"",COUNTIFS(Overwash_Matrix!$C:$C,1989,Overwash_Matrix!AP:AP,1))</f>
        <v>0</v>
      </c>
      <c r="AK9" s="53">
        <f>IF(COUNTIF(Overwash_Matrix!$C:$C,1989)=0,"",COUNTIFS(Overwash_Matrix!$C:$C,1989,Overwash_Matrix!AQ:AQ,1))</f>
        <v>0</v>
      </c>
      <c r="AL9" s="53">
        <f>IF(COUNTIF(Overwash_Matrix!$C:$C,1989)=0,"",COUNTIFS(Overwash_Matrix!$C:$C,1989,Overwash_Matrix!AR:AR,1))</f>
        <v>0</v>
      </c>
      <c r="AM9" s="53">
        <f>IF(COUNTIF(Overwash_Matrix!$C:$C,1989)=0,"",COUNTIFS(Overwash_Matrix!$C:$C,1989,Overwash_Matrix!AS:AS,1))</f>
        <v>0</v>
      </c>
      <c r="AN9" s="53">
        <f>IF(COUNTIF(Overwash_Matrix!$C:$C,1989)=0,"",COUNTIFS(Overwash_Matrix!$C:$C,1989,Overwash_Matrix!AT:AT,1))</f>
        <v>0</v>
      </c>
      <c r="AO9" s="53">
        <f>IF(COUNTIF(Overwash_Matrix!$C:$C,1989)=0,"",COUNTIFS(Overwash_Matrix!$C:$C,1989,Overwash_Matrix!AU:AU,1))</f>
        <v>0</v>
      </c>
      <c r="AP9" s="53">
        <f>IF(COUNTIF(Overwash_Matrix!$C:$C,1989)=0,"",COUNTIFS(Overwash_Matrix!$C:$C,1989,Overwash_Matrix!AV:AV,1))</f>
        <v>0</v>
      </c>
      <c r="AQ9" s="53">
        <f>IF(COUNTIF(Overwash_Matrix!$C:$C,1989)=0,"",COUNTIFS(Overwash_Matrix!$C:$C,1989,Overwash_Matrix!AW:AW,1))</f>
        <v>0</v>
      </c>
      <c r="AR9" s="53">
        <f>IF(COUNTIF(Overwash_Matrix!$C:$C,1989)=0,"",COUNTIFS(Overwash_Matrix!$C:$C,1989,Overwash_Matrix!AX:AX,1))</f>
        <v>0</v>
      </c>
      <c r="AS9" s="53">
        <f>IF(COUNTIF(Overwash_Matrix!$C:$C,1989)=0,"",COUNTIFS(Overwash_Matrix!$C:$C,1989,Overwash_Matrix!AY:AY,1))</f>
        <v>0</v>
      </c>
      <c r="AT9" s="53">
        <f>IF(COUNTIF(Overwash_Matrix!$C:$C,1989)=0,"",COUNTIFS(Overwash_Matrix!$C:$C,1989,Overwash_Matrix!AZ:AZ,1))</f>
        <v>0</v>
      </c>
      <c r="AU9" s="53">
        <f>IF(COUNTIF(Overwash_Matrix!$C:$C,1989)=0,"",COUNTIFS(Overwash_Matrix!$C:$C,1989,Overwash_Matrix!BA:BA,1))</f>
        <v>0</v>
      </c>
      <c r="AV9" s="53">
        <f>IF(COUNTIF(Overwash_Matrix!$C:$C,1989)=0,"",COUNTIFS(Overwash_Matrix!$C:$C,1989,Overwash_Matrix!BB:BB,1))</f>
        <v>0</v>
      </c>
      <c r="AW9" s="53">
        <f>IF(COUNTIF(Overwash_Matrix!$C:$C,1989)=0,"",COUNTIFS(Overwash_Matrix!$C:$C,1989,Overwash_Matrix!BC:BC,1))</f>
        <v>0</v>
      </c>
      <c r="AX9" s="53">
        <f>IF(COUNTIF(Overwash_Matrix!$C:$C,1989)=0,"",COUNTIFS(Overwash_Matrix!$C:$C,1989,Overwash_Matrix!BD:BD,1))</f>
        <v>0</v>
      </c>
      <c r="AY9" s="53">
        <f>IF(COUNTIF(Overwash_Matrix!$C:$C,1989)=0,"",COUNTIFS(Overwash_Matrix!$C:$C,1989,Overwash_Matrix!BE:BE,1))</f>
        <v>0</v>
      </c>
      <c r="AZ9" s="53">
        <f>IF(COUNTIF(Overwash_Matrix!$C:$C,1989)=0,"",COUNTIFS(Overwash_Matrix!$C:$C,1989,Overwash_Matrix!BF:BF,1))</f>
        <v>0</v>
      </c>
      <c r="BA9" s="53">
        <f>IF(COUNTIF(Overwash_Matrix!$C:$C,1989)=0,"",COUNTIFS(Overwash_Matrix!$C:$C,1989,Overwash_Matrix!BG:BG,1))</f>
        <v>1</v>
      </c>
      <c r="BB9" s="53">
        <f>IF(COUNTIF(Overwash_Matrix!$C:$C,1989)=0,"",COUNTIFS(Overwash_Matrix!$C:$C,1989,Overwash_Matrix!BH:BH,1))</f>
        <v>1</v>
      </c>
      <c r="BC9" s="53">
        <f>IF(COUNTIF(Overwash_Matrix!$C:$C,1989)=0,"",COUNTIFS(Overwash_Matrix!$C:$C,1989,Overwash_Matrix!BI:BI,1))</f>
        <v>0</v>
      </c>
      <c r="BD9" s="53">
        <f>IF(COUNTIF(Overwash_Matrix!$C:$C,1989)=0,"",COUNTIFS(Overwash_Matrix!$C:$C,1989,Overwash_Matrix!BJ:BJ,1))</f>
        <v>0</v>
      </c>
      <c r="BE9" s="53">
        <f>IF(COUNTIF(Overwash_Matrix!$C:$C,1989)=0,"",COUNTIFS(Overwash_Matrix!$C:$C,1989,Overwash_Matrix!BK:BK,1))</f>
        <v>0</v>
      </c>
      <c r="BF9" s="53">
        <f>IF(COUNTIF(Overwash_Matrix!$C:$C,1989)=0,"",COUNTIFS(Overwash_Matrix!$C:$C,1989,Overwash_Matrix!BL:BL,1))</f>
        <v>0</v>
      </c>
      <c r="BG9" s="53">
        <f>IF(COUNTIF(Overwash_Matrix!$C:$C,1989)=0,"",COUNTIFS(Overwash_Matrix!$C:$C,1989,Overwash_Matrix!BM:BM,1))</f>
        <v>0</v>
      </c>
      <c r="BH9" s="53">
        <f>IF(COUNTIF(Overwash_Matrix!$C:$C,1989)=0,"",COUNTIFS(Overwash_Matrix!$C:$C,1989,Overwash_Matrix!BN:BN,1))</f>
        <v>0</v>
      </c>
      <c r="BI9" s="53">
        <f>IF(COUNTIF(Overwash_Matrix!$C:$C,1989)=0,"",COUNTIFS(Overwash_Matrix!$C:$C,1989,Overwash_Matrix!BO:BO,1))</f>
        <v>0</v>
      </c>
      <c r="BJ9" s="53">
        <f>IF(COUNTIF(Overwash_Matrix!$C:$C,1989)=0,"",COUNTIFS(Overwash_Matrix!$C:$C,1989,Overwash_Matrix!BP:BP,1))</f>
        <v>0</v>
      </c>
      <c r="BK9" s="53">
        <f>IF(COUNTIF(Overwash_Matrix!$C:$C,1989)=0,"",COUNTIFS(Overwash_Matrix!$C:$C,1989,Overwash_Matrix!BQ:BQ,1))</f>
        <v>0</v>
      </c>
      <c r="BL9" s="53">
        <f>IF(COUNTIF(Overwash_Matrix!$C:$C,1989)=0,"",COUNTIFS(Overwash_Matrix!$C:$C,1989,Overwash_Matrix!BR:BR,1))</f>
        <v>0</v>
      </c>
      <c r="BM9" s="53">
        <f>IF(COUNTIF(Overwash_Matrix!$C:$C,1989)=0,"",COUNTIFS(Overwash_Matrix!$C:$C,1989,Overwash_Matrix!BS:BS,1))</f>
        <v>0</v>
      </c>
      <c r="BN9" s="53">
        <f>IF(COUNTIF(Overwash_Matrix!$C:$C,1989)=0,"",COUNTIFS(Overwash_Matrix!$C:$C,1989,Overwash_Matrix!BT:BT,1))</f>
        <v>0</v>
      </c>
      <c r="BO9" s="53">
        <f>IF(COUNTIF(Overwash_Matrix!$C:$C,1989)=0,"",COUNTIFS(Overwash_Matrix!$C:$C,1989,Overwash_Matrix!BU:BU,1))</f>
        <v>0</v>
      </c>
      <c r="BP9" s="53">
        <f>IF(COUNTIF(Overwash_Matrix!$C:$C,1989)=0,"",COUNTIFS(Overwash_Matrix!$C:$C,1989,Overwash_Matrix!BV:BV,1))</f>
        <v>0</v>
      </c>
      <c r="BQ9" s="53">
        <f>IF(COUNTIF(Overwash_Matrix!$C:$C,1989)=0,"",COUNTIFS(Overwash_Matrix!$C:$C,1989,Overwash_Matrix!BW:BW,1))</f>
        <v>0</v>
      </c>
      <c r="BR9" s="53">
        <f>IF(COUNTIF(Overwash_Matrix!$C:$C,1989)=0,"",COUNTIFS(Overwash_Matrix!$C:$C,1989,Overwash_Matrix!BX:BX,1))</f>
        <v>0</v>
      </c>
      <c r="BS9" s="53">
        <f>IF(COUNTIF(Overwash_Matrix!$C:$C,1989)=0,"",COUNTIFS(Overwash_Matrix!$C:$C,1989,Overwash_Matrix!BY:BY,1))</f>
        <v>0</v>
      </c>
      <c r="BT9" s="53">
        <f>IF(COUNTIF(Overwash_Matrix!$C:$C,1989)=0,"",COUNTIFS(Overwash_Matrix!$C:$C,1989,Overwash_Matrix!BZ:BZ,1))</f>
        <v>0</v>
      </c>
      <c r="BU9" s="53">
        <f>IF(COUNTIF(Overwash_Matrix!$C:$C,1989)=0,"",COUNTIFS(Overwash_Matrix!$C:$C,1989,Overwash_Matrix!CA:CA,1))</f>
        <v>0</v>
      </c>
      <c r="BV9" s="53">
        <f>IF(COUNTIF(Overwash_Matrix!$C:$C,1989)=0,"",COUNTIFS(Overwash_Matrix!$C:$C,1989,Overwash_Matrix!CB:CB,1))</f>
        <v>0</v>
      </c>
      <c r="BW9" s="53">
        <f>IF(COUNTIF(Overwash_Matrix!$C:$C,1989)=0,"",COUNTIFS(Overwash_Matrix!$C:$C,1989,Overwash_Matrix!CC:CC,1))</f>
        <v>0</v>
      </c>
      <c r="BX9" s="53">
        <f>IF(COUNTIF(Overwash_Matrix!$C:$C,1989)=0,"",COUNTIFS(Overwash_Matrix!$C:$C,1989,Overwash_Matrix!CD:CD,1))</f>
        <v>0</v>
      </c>
      <c r="BY9" s="53">
        <f>IF(COUNTIF(Overwash_Matrix!$C:$C,1989)=0,"",COUNTIFS(Overwash_Matrix!$C:$C,1989,Overwash_Matrix!CE:CE,1))</f>
        <v>0</v>
      </c>
      <c r="BZ9" s="53">
        <f>IF(COUNTIF(Overwash_Matrix!$C:$C,1989)=0,"",COUNTIFS(Overwash_Matrix!$C:$C,1989,Overwash_Matrix!CF:CF,1))</f>
        <v>0</v>
      </c>
      <c r="CA9" s="53">
        <f>IF(COUNTIF(Overwash_Matrix!$C:$C,1989)=0,"",COUNTIFS(Overwash_Matrix!$C:$C,1989,Overwash_Matrix!CG:CG,1))</f>
        <v>0</v>
      </c>
      <c r="CB9" s="53">
        <f>IF(COUNTIF(Overwash_Matrix!$C:$C,1989)=0,"",COUNTIFS(Overwash_Matrix!$C:$C,1989,Overwash_Matrix!CH:CH,1))</f>
        <v>0</v>
      </c>
      <c r="CC9" s="53">
        <f>IF(COUNTIF(Overwash_Matrix!$C:$C,1989)=0,"",COUNTIFS(Overwash_Matrix!$C:$C,1989,Overwash_Matrix!CI:CI,1))</f>
        <v>0</v>
      </c>
      <c r="CD9" s="53">
        <f>IF(COUNTIF(Overwash_Matrix!$C:$C,1989)=0,"",COUNTIFS(Overwash_Matrix!$C:$C,1989,Overwash_Matrix!CJ:CJ,1))</f>
        <v>0</v>
      </c>
      <c r="CE9" s="53">
        <f>IF(COUNTIF(Overwash_Matrix!$C:$C,1989)=0,"",COUNTIFS(Overwash_Matrix!$C:$C,1989,Overwash_Matrix!CK:CK,1))</f>
        <v>0</v>
      </c>
      <c r="CF9" s="53">
        <f>IF(COUNTIF(Overwash_Matrix!$C:$C,1989)=0,"",COUNTIFS(Overwash_Matrix!$C:$C,1989,Overwash_Matrix!CL:CL,1))</f>
        <v>0</v>
      </c>
      <c r="CG9" s="53">
        <f>IF(COUNTIF(Overwash_Matrix!$C:$C,1989)=0,"",COUNTIFS(Overwash_Matrix!$C:$C,1989,Overwash_Matrix!CM:CM,1))</f>
        <v>0</v>
      </c>
      <c r="CH9" s="53">
        <f>IF(COUNTIF(Overwash_Matrix!$C:$C,1989)=0,"",COUNTIFS(Overwash_Matrix!$C:$C,1989,Overwash_Matrix!CN:CN,1))</f>
        <v>0</v>
      </c>
      <c r="CI9" s="53">
        <f>IF(COUNTIF(Overwash_Matrix!$C:$C,1989)=0,"",COUNTIFS(Overwash_Matrix!$C:$C,1989,Overwash_Matrix!CO:CO,1))</f>
        <v>0</v>
      </c>
      <c r="CJ9" s="53">
        <f>IF(COUNTIF(Overwash_Matrix!$C:$C,1989)=0,"",COUNTIFS(Overwash_Matrix!$C:$C,1989,Overwash_Matrix!CP:CP,1))</f>
        <v>0</v>
      </c>
      <c r="CK9" s="53">
        <f>IF(COUNTIF(Overwash_Matrix!$C:$C,1989)=0,"",COUNTIFS(Overwash_Matrix!$C:$C,1989,Overwash_Matrix!CQ:CQ,1))</f>
        <v>0</v>
      </c>
      <c r="CL9" s="53">
        <f>IF(COUNTIF(Overwash_Matrix!$C:$C,1989)=0,"",COUNTIFS(Overwash_Matrix!$C:$C,1989,Overwash_Matrix!CR:CR,1))</f>
        <v>0</v>
      </c>
      <c r="CM9" s="53">
        <f>IF(COUNTIF(Overwash_Matrix!$C:$C,1989)=0,"",COUNTIFS(Overwash_Matrix!$C:$C,1989,Overwash_Matrix!CS:CS,1))</f>
        <v>0</v>
      </c>
      <c r="CN9" s="53">
        <f>IF(COUNTIF(Overwash_Matrix!$C:$C,1989)=0,"",COUNTIFS(Overwash_Matrix!$C:$C,1989,Overwash_Matrix!CT:CT,1))</f>
        <v>0</v>
      </c>
    </row>
    <row r="10" ht="13.5" customHeight="1">
      <c r="A10" s="86">
        <v>1990.0</v>
      </c>
      <c r="B10" s="87">
        <f>COUNTIF(Overwash_Matrix!$C:$C,1990)</f>
        <v>0</v>
      </c>
      <c r="C10" s="57" t="str">
        <f>IF(COUNTIF(Overwash_Matrix!$C:$C,1990)=0,"",COUNTIFS(Overwash_Matrix!$C:$C,1990,Overwash_Matrix!I:I,1))</f>
        <v/>
      </c>
      <c r="D10" s="57" t="str">
        <f>IF(COUNTIF(Overwash_Matrix!$C:$C,1990)=0,"",COUNTIFS(Overwash_Matrix!$C:$C,1990,Overwash_Matrix!J:J,1))</f>
        <v/>
      </c>
      <c r="E10" s="57" t="str">
        <f>IF(COUNTIF(Overwash_Matrix!$C:$C,1990)=0,"",COUNTIFS(Overwash_Matrix!$C:$C,1990,Overwash_Matrix!K:K,1))</f>
        <v/>
      </c>
      <c r="F10" s="57" t="str">
        <f>IF(COUNTIF(Overwash_Matrix!$C:$C,1990)=0,"",COUNTIFS(Overwash_Matrix!$C:$C,1990,Overwash_Matrix!L:L,1))</f>
        <v/>
      </c>
      <c r="G10" s="57" t="str">
        <f>IF(COUNTIF(Overwash_Matrix!$C:$C,1990)=0,"",COUNTIFS(Overwash_Matrix!$C:$C,1990,Overwash_Matrix!M:M,1))</f>
        <v/>
      </c>
      <c r="H10" s="57" t="str">
        <f>IF(COUNTIF(Overwash_Matrix!$C:$C,1990)=0,"",COUNTIFS(Overwash_Matrix!$C:$C,1990,Overwash_Matrix!N:N,1))</f>
        <v/>
      </c>
      <c r="I10" s="57" t="str">
        <f>IF(COUNTIF(Overwash_Matrix!$C:$C,1990)=0,"",COUNTIFS(Overwash_Matrix!$C:$C,1990,Overwash_Matrix!O:O,1))</f>
        <v/>
      </c>
      <c r="J10" s="57" t="str">
        <f>IF(COUNTIF(Overwash_Matrix!$C:$C,1990)=0,"",COUNTIFS(Overwash_Matrix!$C:$C,1990,Overwash_Matrix!P:P,1))</f>
        <v/>
      </c>
      <c r="K10" s="57" t="str">
        <f>IF(COUNTIF(Overwash_Matrix!$C:$C,1990)=0,"",COUNTIFS(Overwash_Matrix!$C:$C,1990,Overwash_Matrix!Q:Q,1))</f>
        <v/>
      </c>
      <c r="L10" s="57" t="str">
        <f>IF(COUNTIF(Overwash_Matrix!$C:$C,1990)=0,"",COUNTIFS(Overwash_Matrix!$C:$C,1990,Overwash_Matrix!R:R,1))</f>
        <v/>
      </c>
      <c r="M10" s="57" t="str">
        <f>IF(COUNTIF(Overwash_Matrix!$C:$C,1990)=0,"",COUNTIFS(Overwash_Matrix!$C:$C,1990,Overwash_Matrix!S:S,1))</f>
        <v/>
      </c>
      <c r="N10" s="57" t="str">
        <f>IF(COUNTIF(Overwash_Matrix!$C:$C,1990)=0,"",COUNTIFS(Overwash_Matrix!$C:$C,1990,Overwash_Matrix!T:T,1))</f>
        <v/>
      </c>
      <c r="O10" s="57" t="str">
        <f>IF(COUNTIF(Overwash_Matrix!$C:$C,1990)=0,"",COUNTIFS(Overwash_Matrix!$C:$C,1990,Overwash_Matrix!U:U,1))</f>
        <v/>
      </c>
      <c r="P10" s="57" t="str">
        <f>IF(COUNTIF(Overwash_Matrix!$C:$C,1990)=0,"",COUNTIFS(Overwash_Matrix!$C:$C,1990,Overwash_Matrix!V:V,1))</f>
        <v/>
      </c>
      <c r="Q10" s="57" t="str">
        <f>IF(COUNTIF(Overwash_Matrix!$C:$C,1990)=0,"",COUNTIFS(Overwash_Matrix!$C:$C,1990,Overwash_Matrix!W:W,1))</f>
        <v/>
      </c>
      <c r="R10" s="57" t="str">
        <f>IF(COUNTIF(Overwash_Matrix!$C:$C,1990)=0,"",COUNTIFS(Overwash_Matrix!$C:$C,1990,Overwash_Matrix!X:X,1))</f>
        <v/>
      </c>
      <c r="S10" s="57" t="str">
        <f>IF(COUNTIF(Overwash_Matrix!$C:$C,1990)=0,"",COUNTIFS(Overwash_Matrix!$C:$C,1990,Overwash_Matrix!Y:Y,1))</f>
        <v/>
      </c>
      <c r="T10" s="57" t="str">
        <f>IF(COUNTIF(Overwash_Matrix!$C:$C,1990)=0,"",COUNTIFS(Overwash_Matrix!$C:$C,1990,Overwash_Matrix!Z:Z,1))</f>
        <v/>
      </c>
      <c r="U10" s="57" t="str">
        <f>IF(COUNTIF(Overwash_Matrix!$C:$C,1990)=0,"",COUNTIFS(Overwash_Matrix!$C:$C,1990,Overwash_Matrix!AA:AA,1))</f>
        <v/>
      </c>
      <c r="V10" s="57" t="str">
        <f>IF(COUNTIF(Overwash_Matrix!$C:$C,1990)=0,"",COUNTIFS(Overwash_Matrix!$C:$C,1990,Overwash_Matrix!AB:AB,1))</f>
        <v/>
      </c>
      <c r="W10" s="57" t="str">
        <f>IF(COUNTIF(Overwash_Matrix!$C:$C,1990)=0,"",COUNTIFS(Overwash_Matrix!$C:$C,1990,Overwash_Matrix!AC:AC,1))</f>
        <v/>
      </c>
      <c r="X10" s="57" t="str">
        <f>IF(COUNTIF(Overwash_Matrix!$C:$C,1990)=0,"",COUNTIFS(Overwash_Matrix!$C:$C,1990,Overwash_Matrix!AD:AD,1))</f>
        <v/>
      </c>
      <c r="Y10" s="57" t="str">
        <f>IF(COUNTIF(Overwash_Matrix!$C:$C,1990)=0,"",COUNTIFS(Overwash_Matrix!$C:$C,1990,Overwash_Matrix!AE:AE,1))</f>
        <v/>
      </c>
      <c r="Z10" s="57" t="str">
        <f>IF(COUNTIF(Overwash_Matrix!$C:$C,1990)=0,"",COUNTIFS(Overwash_Matrix!$C:$C,1990,Overwash_Matrix!AF:AF,1))</f>
        <v/>
      </c>
      <c r="AA10" s="57" t="str">
        <f>IF(COUNTIF(Overwash_Matrix!$C:$C,1990)=0,"",COUNTIFS(Overwash_Matrix!$C:$C,1990,Overwash_Matrix!AG:AG,1))</f>
        <v/>
      </c>
      <c r="AB10" s="57" t="str">
        <f>IF(COUNTIF(Overwash_Matrix!$C:$C,1990)=0,"",COUNTIFS(Overwash_Matrix!$C:$C,1990,Overwash_Matrix!AH:AH,1))</f>
        <v/>
      </c>
      <c r="AC10" s="57" t="str">
        <f>IF(COUNTIF(Overwash_Matrix!$C:$C,1990)=0,"",COUNTIFS(Overwash_Matrix!$C:$C,1990,Overwash_Matrix!AI:AI,1))</f>
        <v/>
      </c>
      <c r="AD10" s="57" t="str">
        <f>IF(COUNTIF(Overwash_Matrix!$C:$C,1990)=0,"",COUNTIFS(Overwash_Matrix!$C:$C,1990,Overwash_Matrix!AJ:AJ,1))</f>
        <v/>
      </c>
      <c r="AE10" s="57" t="str">
        <f>IF(COUNTIF(Overwash_Matrix!$C:$C,1990)=0,"",COUNTIFS(Overwash_Matrix!$C:$C,1990,Overwash_Matrix!AK:AK,1))</f>
        <v/>
      </c>
      <c r="AF10" s="57" t="str">
        <f>IF(COUNTIF(Overwash_Matrix!$C:$C,1990)=0,"",COUNTIFS(Overwash_Matrix!$C:$C,1990,Overwash_Matrix!AL:AL,1))</f>
        <v/>
      </c>
      <c r="AG10" s="57" t="str">
        <f>IF(COUNTIF(Overwash_Matrix!$C:$C,1990)=0,"",COUNTIFS(Overwash_Matrix!$C:$C,1990,Overwash_Matrix!AM:AM,1))</f>
        <v/>
      </c>
      <c r="AH10" s="57" t="str">
        <f>IF(COUNTIF(Overwash_Matrix!$C:$C,1990)=0,"",COUNTIFS(Overwash_Matrix!$C:$C,1990,Overwash_Matrix!AN:AN,1))</f>
        <v/>
      </c>
      <c r="AI10" s="57" t="str">
        <f>IF(COUNTIF(Overwash_Matrix!$C:$C,1990)=0,"",COUNTIFS(Overwash_Matrix!$C:$C,1990,Overwash_Matrix!AO:AO,1))</f>
        <v/>
      </c>
      <c r="AJ10" s="57" t="str">
        <f>IF(COUNTIF(Overwash_Matrix!$C:$C,1990)=0,"",COUNTIFS(Overwash_Matrix!$C:$C,1990,Overwash_Matrix!AP:AP,1))</f>
        <v/>
      </c>
      <c r="AK10" s="57" t="str">
        <f>IF(COUNTIF(Overwash_Matrix!$C:$C,1990)=0,"",COUNTIFS(Overwash_Matrix!$C:$C,1990,Overwash_Matrix!AQ:AQ,1))</f>
        <v/>
      </c>
      <c r="AL10" s="57" t="str">
        <f>IF(COUNTIF(Overwash_Matrix!$C:$C,1990)=0,"",COUNTIFS(Overwash_Matrix!$C:$C,1990,Overwash_Matrix!AR:AR,1))</f>
        <v/>
      </c>
      <c r="AM10" s="57" t="str">
        <f>IF(COUNTIF(Overwash_Matrix!$C:$C,1990)=0,"",COUNTIFS(Overwash_Matrix!$C:$C,1990,Overwash_Matrix!AS:AS,1))</f>
        <v/>
      </c>
      <c r="AN10" s="57" t="str">
        <f>IF(COUNTIF(Overwash_Matrix!$C:$C,1990)=0,"",COUNTIFS(Overwash_Matrix!$C:$C,1990,Overwash_Matrix!AT:AT,1))</f>
        <v/>
      </c>
      <c r="AO10" s="57" t="str">
        <f>IF(COUNTIF(Overwash_Matrix!$C:$C,1990)=0,"",COUNTIFS(Overwash_Matrix!$C:$C,1990,Overwash_Matrix!AU:AU,1))</f>
        <v/>
      </c>
      <c r="AP10" s="57" t="str">
        <f>IF(COUNTIF(Overwash_Matrix!$C:$C,1990)=0,"",COUNTIFS(Overwash_Matrix!$C:$C,1990,Overwash_Matrix!AV:AV,1))</f>
        <v/>
      </c>
      <c r="AQ10" s="57" t="str">
        <f>IF(COUNTIF(Overwash_Matrix!$C:$C,1990)=0,"",COUNTIFS(Overwash_Matrix!$C:$C,1990,Overwash_Matrix!AW:AW,1))</f>
        <v/>
      </c>
      <c r="AR10" s="57" t="str">
        <f>IF(COUNTIF(Overwash_Matrix!$C:$C,1990)=0,"",COUNTIFS(Overwash_Matrix!$C:$C,1990,Overwash_Matrix!AX:AX,1))</f>
        <v/>
      </c>
      <c r="AS10" s="57" t="str">
        <f>IF(COUNTIF(Overwash_Matrix!$C:$C,1990)=0,"",COUNTIFS(Overwash_Matrix!$C:$C,1990,Overwash_Matrix!AY:AY,1))</f>
        <v/>
      </c>
      <c r="AT10" s="57" t="str">
        <f>IF(COUNTIF(Overwash_Matrix!$C:$C,1990)=0,"",COUNTIFS(Overwash_Matrix!$C:$C,1990,Overwash_Matrix!AZ:AZ,1))</f>
        <v/>
      </c>
      <c r="AU10" s="57" t="str">
        <f>IF(COUNTIF(Overwash_Matrix!$C:$C,1990)=0,"",COUNTIFS(Overwash_Matrix!$C:$C,1990,Overwash_Matrix!BA:BA,1))</f>
        <v/>
      </c>
      <c r="AV10" s="57" t="str">
        <f>IF(COUNTIF(Overwash_Matrix!$C:$C,1990)=0,"",COUNTIFS(Overwash_Matrix!$C:$C,1990,Overwash_Matrix!BB:BB,1))</f>
        <v/>
      </c>
      <c r="AW10" s="57" t="str">
        <f>IF(COUNTIF(Overwash_Matrix!$C:$C,1990)=0,"",COUNTIFS(Overwash_Matrix!$C:$C,1990,Overwash_Matrix!BC:BC,1))</f>
        <v/>
      </c>
      <c r="AX10" s="57" t="str">
        <f>IF(COUNTIF(Overwash_Matrix!$C:$C,1990)=0,"",COUNTIFS(Overwash_Matrix!$C:$C,1990,Overwash_Matrix!BD:BD,1))</f>
        <v/>
      </c>
      <c r="AY10" s="57" t="str">
        <f>IF(COUNTIF(Overwash_Matrix!$C:$C,1990)=0,"",COUNTIFS(Overwash_Matrix!$C:$C,1990,Overwash_Matrix!BE:BE,1))</f>
        <v/>
      </c>
      <c r="AZ10" s="57" t="str">
        <f>IF(COUNTIF(Overwash_Matrix!$C:$C,1990)=0,"",COUNTIFS(Overwash_Matrix!$C:$C,1990,Overwash_Matrix!BF:BF,1))</f>
        <v/>
      </c>
      <c r="BA10" s="57" t="str">
        <f>IF(COUNTIF(Overwash_Matrix!$C:$C,1990)=0,"",COUNTIFS(Overwash_Matrix!$C:$C,1990,Overwash_Matrix!BG:BG,1))</f>
        <v/>
      </c>
      <c r="BB10" s="57" t="str">
        <f>IF(COUNTIF(Overwash_Matrix!$C:$C,1990)=0,"",COUNTIFS(Overwash_Matrix!$C:$C,1990,Overwash_Matrix!BH:BH,1))</f>
        <v/>
      </c>
      <c r="BC10" s="57" t="str">
        <f>IF(COUNTIF(Overwash_Matrix!$C:$C,1990)=0,"",COUNTIFS(Overwash_Matrix!$C:$C,1990,Overwash_Matrix!BI:BI,1))</f>
        <v/>
      </c>
      <c r="BD10" s="57" t="str">
        <f>IF(COUNTIF(Overwash_Matrix!$C:$C,1990)=0,"",COUNTIFS(Overwash_Matrix!$C:$C,1990,Overwash_Matrix!BJ:BJ,1))</f>
        <v/>
      </c>
      <c r="BE10" s="57" t="str">
        <f>IF(COUNTIF(Overwash_Matrix!$C:$C,1990)=0,"",COUNTIFS(Overwash_Matrix!$C:$C,1990,Overwash_Matrix!BK:BK,1))</f>
        <v/>
      </c>
      <c r="BF10" s="57" t="str">
        <f>IF(COUNTIF(Overwash_Matrix!$C:$C,1990)=0,"",COUNTIFS(Overwash_Matrix!$C:$C,1990,Overwash_Matrix!BL:BL,1))</f>
        <v/>
      </c>
      <c r="BG10" s="57" t="str">
        <f>IF(COUNTIF(Overwash_Matrix!$C:$C,1990)=0,"",COUNTIFS(Overwash_Matrix!$C:$C,1990,Overwash_Matrix!BM:BM,1))</f>
        <v/>
      </c>
      <c r="BH10" s="57" t="str">
        <f>IF(COUNTIF(Overwash_Matrix!$C:$C,1990)=0,"",COUNTIFS(Overwash_Matrix!$C:$C,1990,Overwash_Matrix!BN:BN,1))</f>
        <v/>
      </c>
      <c r="BI10" s="57" t="str">
        <f>IF(COUNTIF(Overwash_Matrix!$C:$C,1990)=0,"",COUNTIFS(Overwash_Matrix!$C:$C,1990,Overwash_Matrix!BO:BO,1))</f>
        <v/>
      </c>
      <c r="BJ10" s="57" t="str">
        <f>IF(COUNTIF(Overwash_Matrix!$C:$C,1990)=0,"",COUNTIFS(Overwash_Matrix!$C:$C,1990,Overwash_Matrix!BP:BP,1))</f>
        <v/>
      </c>
      <c r="BK10" s="57" t="str">
        <f>IF(COUNTIF(Overwash_Matrix!$C:$C,1990)=0,"",COUNTIFS(Overwash_Matrix!$C:$C,1990,Overwash_Matrix!BQ:BQ,1))</f>
        <v/>
      </c>
      <c r="BL10" s="57" t="str">
        <f>IF(COUNTIF(Overwash_Matrix!$C:$C,1990)=0,"",COUNTIFS(Overwash_Matrix!$C:$C,1990,Overwash_Matrix!BR:BR,1))</f>
        <v/>
      </c>
      <c r="BM10" s="57" t="str">
        <f>IF(COUNTIF(Overwash_Matrix!$C:$C,1990)=0,"",COUNTIFS(Overwash_Matrix!$C:$C,1990,Overwash_Matrix!BS:BS,1))</f>
        <v/>
      </c>
      <c r="BN10" s="57" t="str">
        <f>IF(COUNTIF(Overwash_Matrix!$C:$C,1990)=0,"",COUNTIFS(Overwash_Matrix!$C:$C,1990,Overwash_Matrix!BT:BT,1))</f>
        <v/>
      </c>
      <c r="BO10" s="57" t="str">
        <f>IF(COUNTIF(Overwash_Matrix!$C:$C,1990)=0,"",COUNTIFS(Overwash_Matrix!$C:$C,1990,Overwash_Matrix!BU:BU,1))</f>
        <v/>
      </c>
      <c r="BP10" s="57" t="str">
        <f>IF(COUNTIF(Overwash_Matrix!$C:$C,1990)=0,"",COUNTIFS(Overwash_Matrix!$C:$C,1990,Overwash_Matrix!BV:BV,1))</f>
        <v/>
      </c>
      <c r="BQ10" s="57" t="str">
        <f>IF(COUNTIF(Overwash_Matrix!$C:$C,1990)=0,"",COUNTIFS(Overwash_Matrix!$C:$C,1990,Overwash_Matrix!BW:BW,1))</f>
        <v/>
      </c>
      <c r="BR10" s="57" t="str">
        <f>IF(COUNTIF(Overwash_Matrix!$C:$C,1990)=0,"",COUNTIFS(Overwash_Matrix!$C:$C,1990,Overwash_Matrix!BX:BX,1))</f>
        <v/>
      </c>
      <c r="BS10" s="57" t="str">
        <f>IF(COUNTIF(Overwash_Matrix!$C:$C,1990)=0,"",COUNTIFS(Overwash_Matrix!$C:$C,1990,Overwash_Matrix!BY:BY,1))</f>
        <v/>
      </c>
      <c r="BT10" s="57" t="str">
        <f>IF(COUNTIF(Overwash_Matrix!$C:$C,1990)=0,"",COUNTIFS(Overwash_Matrix!$C:$C,1990,Overwash_Matrix!BZ:BZ,1))</f>
        <v/>
      </c>
      <c r="BU10" s="57" t="str">
        <f>IF(COUNTIF(Overwash_Matrix!$C:$C,1990)=0,"",COUNTIFS(Overwash_Matrix!$C:$C,1990,Overwash_Matrix!CA:CA,1))</f>
        <v/>
      </c>
      <c r="BV10" s="57" t="str">
        <f>IF(COUNTIF(Overwash_Matrix!$C:$C,1990)=0,"",COUNTIFS(Overwash_Matrix!$C:$C,1990,Overwash_Matrix!CB:CB,1))</f>
        <v/>
      </c>
      <c r="BW10" s="57" t="str">
        <f>IF(COUNTIF(Overwash_Matrix!$C:$C,1990)=0,"",COUNTIFS(Overwash_Matrix!$C:$C,1990,Overwash_Matrix!CC:CC,1))</f>
        <v/>
      </c>
      <c r="BX10" s="57" t="str">
        <f>IF(COUNTIF(Overwash_Matrix!$C:$C,1990)=0,"",COUNTIFS(Overwash_Matrix!$C:$C,1990,Overwash_Matrix!CD:CD,1))</f>
        <v/>
      </c>
      <c r="BY10" s="57" t="str">
        <f>IF(COUNTIF(Overwash_Matrix!$C:$C,1990)=0,"",COUNTIFS(Overwash_Matrix!$C:$C,1990,Overwash_Matrix!CE:CE,1))</f>
        <v/>
      </c>
      <c r="BZ10" s="57" t="str">
        <f>IF(COUNTIF(Overwash_Matrix!$C:$C,1990)=0,"",COUNTIFS(Overwash_Matrix!$C:$C,1990,Overwash_Matrix!CF:CF,1))</f>
        <v/>
      </c>
      <c r="CA10" s="57" t="str">
        <f>IF(COUNTIF(Overwash_Matrix!$C:$C,1990)=0,"",COUNTIFS(Overwash_Matrix!$C:$C,1990,Overwash_Matrix!CG:CG,1))</f>
        <v/>
      </c>
      <c r="CB10" s="57" t="str">
        <f>IF(COUNTIF(Overwash_Matrix!$C:$C,1990)=0,"",COUNTIFS(Overwash_Matrix!$C:$C,1990,Overwash_Matrix!CH:CH,1))</f>
        <v/>
      </c>
      <c r="CC10" s="57" t="str">
        <f>IF(COUNTIF(Overwash_Matrix!$C:$C,1990)=0,"",COUNTIFS(Overwash_Matrix!$C:$C,1990,Overwash_Matrix!CI:CI,1))</f>
        <v/>
      </c>
      <c r="CD10" s="57" t="str">
        <f>IF(COUNTIF(Overwash_Matrix!$C:$C,1990)=0,"",COUNTIFS(Overwash_Matrix!$C:$C,1990,Overwash_Matrix!CJ:CJ,1))</f>
        <v/>
      </c>
      <c r="CE10" s="57" t="str">
        <f>IF(COUNTIF(Overwash_Matrix!$C:$C,1990)=0,"",COUNTIFS(Overwash_Matrix!$C:$C,1990,Overwash_Matrix!CK:CK,1))</f>
        <v/>
      </c>
      <c r="CF10" s="57" t="str">
        <f>IF(COUNTIF(Overwash_Matrix!$C:$C,1990)=0,"",COUNTIFS(Overwash_Matrix!$C:$C,1990,Overwash_Matrix!CL:CL,1))</f>
        <v/>
      </c>
      <c r="CG10" s="57" t="str">
        <f>IF(COUNTIF(Overwash_Matrix!$C:$C,1990)=0,"",COUNTIFS(Overwash_Matrix!$C:$C,1990,Overwash_Matrix!CM:CM,1))</f>
        <v/>
      </c>
      <c r="CH10" s="57" t="str">
        <f>IF(COUNTIF(Overwash_Matrix!$C:$C,1990)=0,"",COUNTIFS(Overwash_Matrix!$C:$C,1990,Overwash_Matrix!CN:CN,1))</f>
        <v/>
      </c>
      <c r="CI10" s="57" t="str">
        <f>IF(COUNTIF(Overwash_Matrix!$C:$C,1990)=0,"",COUNTIFS(Overwash_Matrix!$C:$C,1990,Overwash_Matrix!CO:CO,1))</f>
        <v/>
      </c>
      <c r="CJ10" s="57" t="str">
        <f>IF(COUNTIF(Overwash_Matrix!$C:$C,1990)=0,"",COUNTIFS(Overwash_Matrix!$C:$C,1990,Overwash_Matrix!CP:CP,1))</f>
        <v/>
      </c>
      <c r="CK10" s="57" t="str">
        <f>IF(COUNTIF(Overwash_Matrix!$C:$C,1990)=0,"",COUNTIFS(Overwash_Matrix!$C:$C,1990,Overwash_Matrix!CQ:CQ,1))</f>
        <v/>
      </c>
      <c r="CL10" s="57" t="str">
        <f>IF(COUNTIF(Overwash_Matrix!$C:$C,1990)=0,"",COUNTIFS(Overwash_Matrix!$C:$C,1990,Overwash_Matrix!CR:CR,1))</f>
        <v/>
      </c>
      <c r="CM10" s="57" t="str">
        <f>IF(COUNTIF(Overwash_Matrix!$C:$C,1990)=0,"",COUNTIFS(Overwash_Matrix!$C:$C,1990,Overwash_Matrix!CS:CS,1))</f>
        <v/>
      </c>
      <c r="CN10" s="57" t="str">
        <f>IF(COUNTIF(Overwash_Matrix!$C:$C,1990)=0,"",COUNTIFS(Overwash_Matrix!$C:$C,1990,Overwash_Matrix!CT:CT,1))</f>
        <v/>
      </c>
    </row>
    <row r="11" ht="13.5" customHeight="1">
      <c r="A11" s="88">
        <v>1991.0</v>
      </c>
      <c r="B11" s="89">
        <f>COUNTIF(Overwash_Matrix!$C:$C,1991)</f>
        <v>1</v>
      </c>
      <c r="C11" s="53">
        <f>IF(COUNTIF(Overwash_Matrix!$C:$C,1991)=0,"",COUNTIFS(Overwash_Matrix!$C:$C,1991,Overwash_Matrix!I:I,1))</f>
        <v>0</v>
      </c>
      <c r="D11" s="53">
        <f>IF(COUNTIF(Overwash_Matrix!$C:$C,1991)=0,"",COUNTIFS(Overwash_Matrix!$C:$C,1991,Overwash_Matrix!J:J,1))</f>
        <v>0</v>
      </c>
      <c r="E11" s="53">
        <f>IF(COUNTIF(Overwash_Matrix!$C:$C,1991)=0,"",COUNTIFS(Overwash_Matrix!$C:$C,1991,Overwash_Matrix!K:K,1))</f>
        <v>0</v>
      </c>
      <c r="F11" s="53">
        <f>IF(COUNTIF(Overwash_Matrix!$C:$C,1991)=0,"",COUNTIFS(Overwash_Matrix!$C:$C,1991,Overwash_Matrix!L:L,1))</f>
        <v>0</v>
      </c>
      <c r="G11" s="53">
        <f>IF(COUNTIF(Overwash_Matrix!$C:$C,1991)=0,"",COUNTIFS(Overwash_Matrix!$C:$C,1991,Overwash_Matrix!M:M,1))</f>
        <v>0</v>
      </c>
      <c r="H11" s="53">
        <f>IF(COUNTIF(Overwash_Matrix!$C:$C,1991)=0,"",COUNTIFS(Overwash_Matrix!$C:$C,1991,Overwash_Matrix!N:N,1))</f>
        <v>0</v>
      </c>
      <c r="I11" s="53">
        <f>IF(COUNTIF(Overwash_Matrix!$C:$C,1991)=0,"",COUNTIFS(Overwash_Matrix!$C:$C,1991,Overwash_Matrix!O:O,1))</f>
        <v>0</v>
      </c>
      <c r="J11" s="53">
        <f>IF(COUNTIF(Overwash_Matrix!$C:$C,1991)=0,"",COUNTIFS(Overwash_Matrix!$C:$C,1991,Overwash_Matrix!P:P,1))</f>
        <v>0</v>
      </c>
      <c r="K11" s="53">
        <f>IF(COUNTIF(Overwash_Matrix!$C:$C,1991)=0,"",COUNTIFS(Overwash_Matrix!$C:$C,1991,Overwash_Matrix!Q:Q,1))</f>
        <v>0</v>
      </c>
      <c r="L11" s="53">
        <f>IF(COUNTIF(Overwash_Matrix!$C:$C,1991)=0,"",COUNTIFS(Overwash_Matrix!$C:$C,1991,Overwash_Matrix!R:R,1))</f>
        <v>0</v>
      </c>
      <c r="M11" s="53">
        <f>IF(COUNTIF(Overwash_Matrix!$C:$C,1991)=0,"",COUNTIFS(Overwash_Matrix!$C:$C,1991,Overwash_Matrix!S:S,1))</f>
        <v>0</v>
      </c>
      <c r="N11" s="53">
        <f>IF(COUNTIF(Overwash_Matrix!$C:$C,1991)=0,"",COUNTIFS(Overwash_Matrix!$C:$C,1991,Overwash_Matrix!T:T,1))</f>
        <v>0</v>
      </c>
      <c r="O11" s="53">
        <f>IF(COUNTIF(Overwash_Matrix!$C:$C,1991)=0,"",COUNTIFS(Overwash_Matrix!$C:$C,1991,Overwash_Matrix!U:U,1))</f>
        <v>0</v>
      </c>
      <c r="P11" s="53">
        <f>IF(COUNTIF(Overwash_Matrix!$C:$C,1991)=0,"",COUNTIFS(Overwash_Matrix!$C:$C,1991,Overwash_Matrix!V:V,1))</f>
        <v>0</v>
      </c>
      <c r="Q11" s="53">
        <f>IF(COUNTIF(Overwash_Matrix!$C:$C,1991)=0,"",COUNTIFS(Overwash_Matrix!$C:$C,1991,Overwash_Matrix!W:W,1))</f>
        <v>0</v>
      </c>
      <c r="R11" s="53">
        <f>IF(COUNTIF(Overwash_Matrix!$C:$C,1991)=0,"",COUNTIFS(Overwash_Matrix!$C:$C,1991,Overwash_Matrix!X:X,1))</f>
        <v>0</v>
      </c>
      <c r="S11" s="53">
        <f>IF(COUNTIF(Overwash_Matrix!$C:$C,1991)=0,"",COUNTIFS(Overwash_Matrix!$C:$C,1991,Overwash_Matrix!Y:Y,1))</f>
        <v>0</v>
      </c>
      <c r="T11" s="53">
        <f>IF(COUNTIF(Overwash_Matrix!$C:$C,1991)=0,"",COUNTIFS(Overwash_Matrix!$C:$C,1991,Overwash_Matrix!Z:Z,1))</f>
        <v>0</v>
      </c>
      <c r="U11" s="53">
        <f>IF(COUNTIF(Overwash_Matrix!$C:$C,1991)=0,"",COUNTIFS(Overwash_Matrix!$C:$C,1991,Overwash_Matrix!AA:AA,1))</f>
        <v>0</v>
      </c>
      <c r="V11" s="53">
        <f>IF(COUNTIF(Overwash_Matrix!$C:$C,1991)=0,"",COUNTIFS(Overwash_Matrix!$C:$C,1991,Overwash_Matrix!AB:AB,1))</f>
        <v>0</v>
      </c>
      <c r="W11" s="53">
        <f>IF(COUNTIF(Overwash_Matrix!$C:$C,1991)=0,"",COUNTIFS(Overwash_Matrix!$C:$C,1991,Overwash_Matrix!AC:AC,1))</f>
        <v>0</v>
      </c>
      <c r="X11" s="53">
        <f>IF(COUNTIF(Overwash_Matrix!$C:$C,1991)=0,"",COUNTIFS(Overwash_Matrix!$C:$C,1991,Overwash_Matrix!AD:AD,1))</f>
        <v>0</v>
      </c>
      <c r="Y11" s="53">
        <f>IF(COUNTIF(Overwash_Matrix!$C:$C,1991)=0,"",COUNTIFS(Overwash_Matrix!$C:$C,1991,Overwash_Matrix!AE:AE,1))</f>
        <v>0</v>
      </c>
      <c r="Z11" s="53">
        <f>IF(COUNTIF(Overwash_Matrix!$C:$C,1991)=0,"",COUNTIFS(Overwash_Matrix!$C:$C,1991,Overwash_Matrix!AF:AF,1))</f>
        <v>0</v>
      </c>
      <c r="AA11" s="53">
        <f>IF(COUNTIF(Overwash_Matrix!$C:$C,1991)=0,"",COUNTIFS(Overwash_Matrix!$C:$C,1991,Overwash_Matrix!AG:AG,1))</f>
        <v>0</v>
      </c>
      <c r="AB11" s="53">
        <f>IF(COUNTIF(Overwash_Matrix!$C:$C,1991)=0,"",COUNTIFS(Overwash_Matrix!$C:$C,1991,Overwash_Matrix!AH:AH,1))</f>
        <v>0</v>
      </c>
      <c r="AC11" s="53">
        <f>IF(COUNTIF(Overwash_Matrix!$C:$C,1991)=0,"",COUNTIFS(Overwash_Matrix!$C:$C,1991,Overwash_Matrix!AI:AI,1))</f>
        <v>0</v>
      </c>
      <c r="AD11" s="53">
        <f>IF(COUNTIF(Overwash_Matrix!$C:$C,1991)=0,"",COUNTIFS(Overwash_Matrix!$C:$C,1991,Overwash_Matrix!AJ:AJ,1))</f>
        <v>0</v>
      </c>
      <c r="AE11" s="53">
        <f>IF(COUNTIF(Overwash_Matrix!$C:$C,1991)=0,"",COUNTIFS(Overwash_Matrix!$C:$C,1991,Overwash_Matrix!AK:AK,1))</f>
        <v>0</v>
      </c>
      <c r="AF11" s="53">
        <f>IF(COUNTIF(Overwash_Matrix!$C:$C,1991)=0,"",COUNTIFS(Overwash_Matrix!$C:$C,1991,Overwash_Matrix!AL:AL,1))</f>
        <v>0</v>
      </c>
      <c r="AG11" s="53">
        <f>IF(COUNTIF(Overwash_Matrix!$C:$C,1991)=0,"",COUNTIFS(Overwash_Matrix!$C:$C,1991,Overwash_Matrix!AM:AM,1))</f>
        <v>0</v>
      </c>
      <c r="AH11" s="53">
        <f>IF(COUNTIF(Overwash_Matrix!$C:$C,1991)=0,"",COUNTIFS(Overwash_Matrix!$C:$C,1991,Overwash_Matrix!AN:AN,1))</f>
        <v>0</v>
      </c>
      <c r="AI11" s="53">
        <f>IF(COUNTIF(Overwash_Matrix!$C:$C,1991)=0,"",COUNTIFS(Overwash_Matrix!$C:$C,1991,Overwash_Matrix!AO:AO,1))</f>
        <v>0</v>
      </c>
      <c r="AJ11" s="53">
        <f>IF(COUNTIF(Overwash_Matrix!$C:$C,1991)=0,"",COUNTIFS(Overwash_Matrix!$C:$C,1991,Overwash_Matrix!AP:AP,1))</f>
        <v>0</v>
      </c>
      <c r="AK11" s="53">
        <f>IF(COUNTIF(Overwash_Matrix!$C:$C,1991)=0,"",COUNTIFS(Overwash_Matrix!$C:$C,1991,Overwash_Matrix!AQ:AQ,1))</f>
        <v>0</v>
      </c>
      <c r="AL11" s="53">
        <f>IF(COUNTIF(Overwash_Matrix!$C:$C,1991)=0,"",COUNTIFS(Overwash_Matrix!$C:$C,1991,Overwash_Matrix!AR:AR,1))</f>
        <v>0</v>
      </c>
      <c r="AM11" s="53">
        <f>IF(COUNTIF(Overwash_Matrix!$C:$C,1991)=0,"",COUNTIFS(Overwash_Matrix!$C:$C,1991,Overwash_Matrix!AS:AS,1))</f>
        <v>0</v>
      </c>
      <c r="AN11" s="53">
        <f>IF(COUNTIF(Overwash_Matrix!$C:$C,1991)=0,"",COUNTIFS(Overwash_Matrix!$C:$C,1991,Overwash_Matrix!AT:AT,1))</f>
        <v>0</v>
      </c>
      <c r="AO11" s="53">
        <f>IF(COUNTIF(Overwash_Matrix!$C:$C,1991)=0,"",COUNTIFS(Overwash_Matrix!$C:$C,1991,Overwash_Matrix!AU:AU,1))</f>
        <v>0</v>
      </c>
      <c r="AP11" s="53">
        <f>IF(COUNTIF(Overwash_Matrix!$C:$C,1991)=0,"",COUNTIFS(Overwash_Matrix!$C:$C,1991,Overwash_Matrix!AV:AV,1))</f>
        <v>0</v>
      </c>
      <c r="AQ11" s="53">
        <f>IF(COUNTIF(Overwash_Matrix!$C:$C,1991)=0,"",COUNTIFS(Overwash_Matrix!$C:$C,1991,Overwash_Matrix!AW:AW,1))</f>
        <v>0</v>
      </c>
      <c r="AR11" s="53">
        <f>IF(COUNTIF(Overwash_Matrix!$C:$C,1991)=0,"",COUNTIFS(Overwash_Matrix!$C:$C,1991,Overwash_Matrix!AX:AX,1))</f>
        <v>0</v>
      </c>
      <c r="AS11" s="53">
        <f>IF(COUNTIF(Overwash_Matrix!$C:$C,1991)=0,"",COUNTIFS(Overwash_Matrix!$C:$C,1991,Overwash_Matrix!AY:AY,1))</f>
        <v>0</v>
      </c>
      <c r="AT11" s="53">
        <f>IF(COUNTIF(Overwash_Matrix!$C:$C,1991)=0,"",COUNTIFS(Overwash_Matrix!$C:$C,1991,Overwash_Matrix!AZ:AZ,1))</f>
        <v>0</v>
      </c>
      <c r="AU11" s="53">
        <f>IF(COUNTIF(Overwash_Matrix!$C:$C,1991)=0,"",COUNTIFS(Overwash_Matrix!$C:$C,1991,Overwash_Matrix!BA:BA,1))</f>
        <v>0</v>
      </c>
      <c r="AV11" s="53">
        <f>IF(COUNTIF(Overwash_Matrix!$C:$C,1991)=0,"",COUNTIFS(Overwash_Matrix!$C:$C,1991,Overwash_Matrix!BB:BB,1))</f>
        <v>1</v>
      </c>
      <c r="AW11" s="53">
        <f>IF(COUNTIF(Overwash_Matrix!$C:$C,1991)=0,"",COUNTIFS(Overwash_Matrix!$C:$C,1991,Overwash_Matrix!BC:BC,1))</f>
        <v>1</v>
      </c>
      <c r="AX11" s="53">
        <f>IF(COUNTIF(Overwash_Matrix!$C:$C,1991)=0,"",COUNTIFS(Overwash_Matrix!$C:$C,1991,Overwash_Matrix!BD:BD,1))</f>
        <v>0</v>
      </c>
      <c r="AY11" s="53">
        <f>IF(COUNTIF(Overwash_Matrix!$C:$C,1991)=0,"",COUNTIFS(Overwash_Matrix!$C:$C,1991,Overwash_Matrix!BE:BE,1))</f>
        <v>1</v>
      </c>
      <c r="AZ11" s="53">
        <f>IF(COUNTIF(Overwash_Matrix!$C:$C,1991)=0,"",COUNTIFS(Overwash_Matrix!$C:$C,1991,Overwash_Matrix!BF:BF,1))</f>
        <v>1</v>
      </c>
      <c r="BA11" s="53">
        <f>IF(COUNTIF(Overwash_Matrix!$C:$C,1991)=0,"",COUNTIFS(Overwash_Matrix!$C:$C,1991,Overwash_Matrix!BG:BG,1))</f>
        <v>1</v>
      </c>
      <c r="BB11" s="53">
        <f>IF(COUNTIF(Overwash_Matrix!$C:$C,1991)=0,"",COUNTIFS(Overwash_Matrix!$C:$C,1991,Overwash_Matrix!BH:BH,1))</f>
        <v>0</v>
      </c>
      <c r="BC11" s="53">
        <f>IF(COUNTIF(Overwash_Matrix!$C:$C,1991)=0,"",COUNTIFS(Overwash_Matrix!$C:$C,1991,Overwash_Matrix!BI:BI,1))</f>
        <v>1</v>
      </c>
      <c r="BD11" s="53">
        <f>IF(COUNTIF(Overwash_Matrix!$C:$C,1991)=0,"",COUNTIFS(Overwash_Matrix!$C:$C,1991,Overwash_Matrix!BJ:BJ,1))</f>
        <v>0</v>
      </c>
      <c r="BE11" s="53">
        <f>IF(COUNTIF(Overwash_Matrix!$C:$C,1991)=0,"",COUNTIFS(Overwash_Matrix!$C:$C,1991,Overwash_Matrix!BK:BK,1))</f>
        <v>0</v>
      </c>
      <c r="BF11" s="53">
        <f>IF(COUNTIF(Overwash_Matrix!$C:$C,1991)=0,"",COUNTIFS(Overwash_Matrix!$C:$C,1991,Overwash_Matrix!BL:BL,1))</f>
        <v>0</v>
      </c>
      <c r="BG11" s="53">
        <f>IF(COUNTIF(Overwash_Matrix!$C:$C,1991)=0,"",COUNTIFS(Overwash_Matrix!$C:$C,1991,Overwash_Matrix!BM:BM,1))</f>
        <v>0</v>
      </c>
      <c r="BH11" s="53">
        <f>IF(COUNTIF(Overwash_Matrix!$C:$C,1991)=0,"",COUNTIFS(Overwash_Matrix!$C:$C,1991,Overwash_Matrix!BN:BN,1))</f>
        <v>0</v>
      </c>
      <c r="BI11" s="53">
        <f>IF(COUNTIF(Overwash_Matrix!$C:$C,1991)=0,"",COUNTIFS(Overwash_Matrix!$C:$C,1991,Overwash_Matrix!BO:BO,1))</f>
        <v>0</v>
      </c>
      <c r="BJ11" s="53">
        <f>IF(COUNTIF(Overwash_Matrix!$C:$C,1991)=0,"",COUNTIFS(Overwash_Matrix!$C:$C,1991,Overwash_Matrix!BP:BP,1))</f>
        <v>0</v>
      </c>
      <c r="BK11" s="53">
        <f>IF(COUNTIF(Overwash_Matrix!$C:$C,1991)=0,"",COUNTIFS(Overwash_Matrix!$C:$C,1991,Overwash_Matrix!BQ:BQ,1))</f>
        <v>0</v>
      </c>
      <c r="BL11" s="53">
        <f>IF(COUNTIF(Overwash_Matrix!$C:$C,1991)=0,"",COUNTIFS(Overwash_Matrix!$C:$C,1991,Overwash_Matrix!BR:BR,1))</f>
        <v>0</v>
      </c>
      <c r="BM11" s="53">
        <f>IF(COUNTIF(Overwash_Matrix!$C:$C,1991)=0,"",COUNTIFS(Overwash_Matrix!$C:$C,1991,Overwash_Matrix!BS:BS,1))</f>
        <v>0</v>
      </c>
      <c r="BN11" s="53">
        <f>IF(COUNTIF(Overwash_Matrix!$C:$C,1991)=0,"",COUNTIFS(Overwash_Matrix!$C:$C,1991,Overwash_Matrix!BT:BT,1))</f>
        <v>0</v>
      </c>
      <c r="BO11" s="53">
        <f>IF(COUNTIF(Overwash_Matrix!$C:$C,1991)=0,"",COUNTIFS(Overwash_Matrix!$C:$C,1991,Overwash_Matrix!BU:BU,1))</f>
        <v>0</v>
      </c>
      <c r="BP11" s="53">
        <f>IF(COUNTIF(Overwash_Matrix!$C:$C,1991)=0,"",COUNTIFS(Overwash_Matrix!$C:$C,1991,Overwash_Matrix!BV:BV,1))</f>
        <v>0</v>
      </c>
      <c r="BQ11" s="53">
        <f>IF(COUNTIF(Overwash_Matrix!$C:$C,1991)=0,"",COUNTIFS(Overwash_Matrix!$C:$C,1991,Overwash_Matrix!BW:BW,1))</f>
        <v>0</v>
      </c>
      <c r="BR11" s="53">
        <f>IF(COUNTIF(Overwash_Matrix!$C:$C,1991)=0,"",COUNTIFS(Overwash_Matrix!$C:$C,1991,Overwash_Matrix!BX:BX,1))</f>
        <v>0</v>
      </c>
      <c r="BS11" s="53">
        <f>IF(COUNTIF(Overwash_Matrix!$C:$C,1991)=0,"",COUNTIFS(Overwash_Matrix!$C:$C,1991,Overwash_Matrix!BY:BY,1))</f>
        <v>0</v>
      </c>
      <c r="BT11" s="53">
        <f>IF(COUNTIF(Overwash_Matrix!$C:$C,1991)=0,"",COUNTIFS(Overwash_Matrix!$C:$C,1991,Overwash_Matrix!BZ:BZ,1))</f>
        <v>0</v>
      </c>
      <c r="BU11" s="53">
        <f>IF(COUNTIF(Overwash_Matrix!$C:$C,1991)=0,"",COUNTIFS(Overwash_Matrix!$C:$C,1991,Overwash_Matrix!CA:CA,1))</f>
        <v>0</v>
      </c>
      <c r="BV11" s="53">
        <f>IF(COUNTIF(Overwash_Matrix!$C:$C,1991)=0,"",COUNTIFS(Overwash_Matrix!$C:$C,1991,Overwash_Matrix!CB:CB,1))</f>
        <v>0</v>
      </c>
      <c r="BW11" s="53">
        <f>IF(COUNTIF(Overwash_Matrix!$C:$C,1991)=0,"",COUNTIFS(Overwash_Matrix!$C:$C,1991,Overwash_Matrix!CC:CC,1))</f>
        <v>0</v>
      </c>
      <c r="BX11" s="53">
        <f>IF(COUNTIF(Overwash_Matrix!$C:$C,1991)=0,"",COUNTIFS(Overwash_Matrix!$C:$C,1991,Overwash_Matrix!CD:CD,1))</f>
        <v>0</v>
      </c>
      <c r="BY11" s="53">
        <f>IF(COUNTIF(Overwash_Matrix!$C:$C,1991)=0,"",COUNTIFS(Overwash_Matrix!$C:$C,1991,Overwash_Matrix!CE:CE,1))</f>
        <v>0</v>
      </c>
      <c r="BZ11" s="53">
        <f>IF(COUNTIF(Overwash_Matrix!$C:$C,1991)=0,"",COUNTIFS(Overwash_Matrix!$C:$C,1991,Overwash_Matrix!CF:CF,1))</f>
        <v>0</v>
      </c>
      <c r="CA11" s="53">
        <f>IF(COUNTIF(Overwash_Matrix!$C:$C,1991)=0,"",COUNTIFS(Overwash_Matrix!$C:$C,1991,Overwash_Matrix!CG:CG,1))</f>
        <v>0</v>
      </c>
      <c r="CB11" s="53">
        <f>IF(COUNTIF(Overwash_Matrix!$C:$C,1991)=0,"",COUNTIFS(Overwash_Matrix!$C:$C,1991,Overwash_Matrix!CH:CH,1))</f>
        <v>0</v>
      </c>
      <c r="CC11" s="53">
        <f>IF(COUNTIF(Overwash_Matrix!$C:$C,1991)=0,"",COUNTIFS(Overwash_Matrix!$C:$C,1991,Overwash_Matrix!CI:CI,1))</f>
        <v>0</v>
      </c>
      <c r="CD11" s="53">
        <f>IF(COUNTIF(Overwash_Matrix!$C:$C,1991)=0,"",COUNTIFS(Overwash_Matrix!$C:$C,1991,Overwash_Matrix!CJ:CJ,1))</f>
        <v>1</v>
      </c>
      <c r="CE11" s="53">
        <f>IF(COUNTIF(Overwash_Matrix!$C:$C,1991)=0,"",COUNTIFS(Overwash_Matrix!$C:$C,1991,Overwash_Matrix!CK:CK,1))</f>
        <v>1</v>
      </c>
      <c r="CF11" s="53">
        <f>IF(COUNTIF(Overwash_Matrix!$C:$C,1991)=0,"",COUNTIFS(Overwash_Matrix!$C:$C,1991,Overwash_Matrix!CL:CL,1))</f>
        <v>0</v>
      </c>
      <c r="CG11" s="53">
        <f>IF(COUNTIF(Overwash_Matrix!$C:$C,1991)=0,"",COUNTIFS(Overwash_Matrix!$C:$C,1991,Overwash_Matrix!CM:CM,1))</f>
        <v>0</v>
      </c>
      <c r="CH11" s="53">
        <f>IF(COUNTIF(Overwash_Matrix!$C:$C,1991)=0,"",COUNTIFS(Overwash_Matrix!$C:$C,1991,Overwash_Matrix!CN:CN,1))</f>
        <v>0</v>
      </c>
      <c r="CI11" s="53">
        <f>IF(COUNTIF(Overwash_Matrix!$C:$C,1991)=0,"",COUNTIFS(Overwash_Matrix!$C:$C,1991,Overwash_Matrix!CO:CO,1))</f>
        <v>0</v>
      </c>
      <c r="CJ11" s="53">
        <f>IF(COUNTIF(Overwash_Matrix!$C:$C,1991)=0,"",COUNTIFS(Overwash_Matrix!$C:$C,1991,Overwash_Matrix!CP:CP,1))</f>
        <v>0</v>
      </c>
      <c r="CK11" s="53">
        <f>IF(COUNTIF(Overwash_Matrix!$C:$C,1991)=0,"",COUNTIFS(Overwash_Matrix!$C:$C,1991,Overwash_Matrix!CQ:CQ,1))</f>
        <v>0</v>
      </c>
      <c r="CL11" s="53">
        <f>IF(COUNTIF(Overwash_Matrix!$C:$C,1991)=0,"",COUNTIFS(Overwash_Matrix!$C:$C,1991,Overwash_Matrix!CR:CR,1))</f>
        <v>0</v>
      </c>
      <c r="CM11" s="53">
        <f>IF(COUNTIF(Overwash_Matrix!$C:$C,1991)=0,"",COUNTIFS(Overwash_Matrix!$C:$C,1991,Overwash_Matrix!CS:CS,1))</f>
        <v>0</v>
      </c>
      <c r="CN11" s="53">
        <f>IF(COUNTIF(Overwash_Matrix!$C:$C,1991)=0,"",COUNTIFS(Overwash_Matrix!$C:$C,1991,Overwash_Matrix!CT:CT,1))</f>
        <v>0</v>
      </c>
    </row>
    <row r="12" ht="13.5" customHeight="1">
      <c r="A12" s="86">
        <v>1992.0</v>
      </c>
      <c r="B12" s="87">
        <f>COUNTIF(Overwash_Matrix!$C:$C,1992)</f>
        <v>1</v>
      </c>
      <c r="C12" s="57">
        <f>IF(COUNTIF(Overwash_Matrix!$C:$C,1992)=0,"",COUNTIFS(Overwash_Matrix!$C:$C,1992,Overwash_Matrix!I:I,1))</f>
        <v>0</v>
      </c>
      <c r="D12" s="57">
        <f>IF(COUNTIF(Overwash_Matrix!$C:$C,1992)=0,"",COUNTIFS(Overwash_Matrix!$C:$C,1992,Overwash_Matrix!J:J,1))</f>
        <v>0</v>
      </c>
      <c r="E12" s="57">
        <f>IF(COUNTIF(Overwash_Matrix!$C:$C,1992)=0,"",COUNTIFS(Overwash_Matrix!$C:$C,1992,Overwash_Matrix!K:K,1))</f>
        <v>0</v>
      </c>
      <c r="F12" s="57">
        <f>IF(COUNTIF(Overwash_Matrix!$C:$C,1992)=0,"",COUNTIFS(Overwash_Matrix!$C:$C,1992,Overwash_Matrix!L:L,1))</f>
        <v>0</v>
      </c>
      <c r="G12" s="57">
        <f>IF(COUNTIF(Overwash_Matrix!$C:$C,1992)=0,"",COUNTIFS(Overwash_Matrix!$C:$C,1992,Overwash_Matrix!M:M,1))</f>
        <v>0</v>
      </c>
      <c r="H12" s="57">
        <f>IF(COUNTIF(Overwash_Matrix!$C:$C,1992)=0,"",COUNTIFS(Overwash_Matrix!$C:$C,1992,Overwash_Matrix!N:N,1))</f>
        <v>0</v>
      </c>
      <c r="I12" s="57">
        <f>IF(COUNTIF(Overwash_Matrix!$C:$C,1992)=0,"",COUNTIFS(Overwash_Matrix!$C:$C,1992,Overwash_Matrix!O:O,1))</f>
        <v>0</v>
      </c>
      <c r="J12" s="57">
        <f>IF(COUNTIF(Overwash_Matrix!$C:$C,1992)=0,"",COUNTIFS(Overwash_Matrix!$C:$C,1992,Overwash_Matrix!P:P,1))</f>
        <v>0</v>
      </c>
      <c r="K12" s="57">
        <f>IF(COUNTIF(Overwash_Matrix!$C:$C,1992)=0,"",COUNTIFS(Overwash_Matrix!$C:$C,1992,Overwash_Matrix!Q:Q,1))</f>
        <v>1</v>
      </c>
      <c r="L12" s="57">
        <f>IF(COUNTIF(Overwash_Matrix!$C:$C,1992)=0,"",COUNTIFS(Overwash_Matrix!$C:$C,1992,Overwash_Matrix!R:R,1))</f>
        <v>1</v>
      </c>
      <c r="M12" s="57">
        <f>IF(COUNTIF(Overwash_Matrix!$C:$C,1992)=0,"",COUNTIFS(Overwash_Matrix!$C:$C,1992,Overwash_Matrix!S:S,1))</f>
        <v>0</v>
      </c>
      <c r="N12" s="57">
        <f>IF(COUNTIF(Overwash_Matrix!$C:$C,1992)=0,"",COUNTIFS(Overwash_Matrix!$C:$C,1992,Overwash_Matrix!T:T,1))</f>
        <v>0</v>
      </c>
      <c r="O12" s="57">
        <f>IF(COUNTIF(Overwash_Matrix!$C:$C,1992)=0,"",COUNTIFS(Overwash_Matrix!$C:$C,1992,Overwash_Matrix!U:U,1))</f>
        <v>0</v>
      </c>
      <c r="P12" s="57">
        <f>IF(COUNTIF(Overwash_Matrix!$C:$C,1992)=0,"",COUNTIFS(Overwash_Matrix!$C:$C,1992,Overwash_Matrix!V:V,1))</f>
        <v>0</v>
      </c>
      <c r="Q12" s="57">
        <f>IF(COUNTIF(Overwash_Matrix!$C:$C,1992)=0,"",COUNTIFS(Overwash_Matrix!$C:$C,1992,Overwash_Matrix!W:W,1))</f>
        <v>0</v>
      </c>
      <c r="R12" s="57">
        <f>IF(COUNTIF(Overwash_Matrix!$C:$C,1992)=0,"",COUNTIFS(Overwash_Matrix!$C:$C,1992,Overwash_Matrix!X:X,1))</f>
        <v>0</v>
      </c>
      <c r="S12" s="57">
        <f>IF(COUNTIF(Overwash_Matrix!$C:$C,1992)=0,"",COUNTIFS(Overwash_Matrix!$C:$C,1992,Overwash_Matrix!Y:Y,1))</f>
        <v>0</v>
      </c>
      <c r="T12" s="57">
        <f>IF(COUNTIF(Overwash_Matrix!$C:$C,1992)=0,"",COUNTIFS(Overwash_Matrix!$C:$C,1992,Overwash_Matrix!Z:Z,1))</f>
        <v>0</v>
      </c>
      <c r="U12" s="57">
        <f>IF(COUNTIF(Overwash_Matrix!$C:$C,1992)=0,"",COUNTIFS(Overwash_Matrix!$C:$C,1992,Overwash_Matrix!AA:AA,1))</f>
        <v>0</v>
      </c>
      <c r="V12" s="57">
        <f>IF(COUNTIF(Overwash_Matrix!$C:$C,1992)=0,"",COUNTIFS(Overwash_Matrix!$C:$C,1992,Overwash_Matrix!AB:AB,1))</f>
        <v>0</v>
      </c>
      <c r="W12" s="57">
        <f>IF(COUNTIF(Overwash_Matrix!$C:$C,1992)=0,"",COUNTIFS(Overwash_Matrix!$C:$C,1992,Overwash_Matrix!AC:AC,1))</f>
        <v>0</v>
      </c>
      <c r="X12" s="57">
        <f>IF(COUNTIF(Overwash_Matrix!$C:$C,1992)=0,"",COUNTIFS(Overwash_Matrix!$C:$C,1992,Overwash_Matrix!AD:AD,1))</f>
        <v>0</v>
      </c>
      <c r="Y12" s="57">
        <f>IF(COUNTIF(Overwash_Matrix!$C:$C,1992)=0,"",COUNTIFS(Overwash_Matrix!$C:$C,1992,Overwash_Matrix!AE:AE,1))</f>
        <v>0</v>
      </c>
      <c r="Z12" s="57">
        <f>IF(COUNTIF(Overwash_Matrix!$C:$C,1992)=0,"",COUNTIFS(Overwash_Matrix!$C:$C,1992,Overwash_Matrix!AF:AF,1))</f>
        <v>0</v>
      </c>
      <c r="AA12" s="57">
        <f>IF(COUNTIF(Overwash_Matrix!$C:$C,1992)=0,"",COUNTIFS(Overwash_Matrix!$C:$C,1992,Overwash_Matrix!AG:AG,1))</f>
        <v>0</v>
      </c>
      <c r="AB12" s="57">
        <f>IF(COUNTIF(Overwash_Matrix!$C:$C,1992)=0,"",COUNTIFS(Overwash_Matrix!$C:$C,1992,Overwash_Matrix!AH:AH,1))</f>
        <v>0</v>
      </c>
      <c r="AC12" s="57">
        <f>IF(COUNTIF(Overwash_Matrix!$C:$C,1992)=0,"",COUNTIFS(Overwash_Matrix!$C:$C,1992,Overwash_Matrix!AI:AI,1))</f>
        <v>0</v>
      </c>
      <c r="AD12" s="57">
        <f>IF(COUNTIF(Overwash_Matrix!$C:$C,1992)=0,"",COUNTIFS(Overwash_Matrix!$C:$C,1992,Overwash_Matrix!AJ:AJ,1))</f>
        <v>0</v>
      </c>
      <c r="AE12" s="57">
        <f>IF(COUNTIF(Overwash_Matrix!$C:$C,1992)=0,"",COUNTIFS(Overwash_Matrix!$C:$C,1992,Overwash_Matrix!AK:AK,1))</f>
        <v>0</v>
      </c>
      <c r="AF12" s="57">
        <f>IF(COUNTIF(Overwash_Matrix!$C:$C,1992)=0,"",COUNTIFS(Overwash_Matrix!$C:$C,1992,Overwash_Matrix!AL:AL,1))</f>
        <v>0</v>
      </c>
      <c r="AG12" s="57">
        <f>IF(COUNTIF(Overwash_Matrix!$C:$C,1992)=0,"",COUNTIFS(Overwash_Matrix!$C:$C,1992,Overwash_Matrix!AM:AM,1))</f>
        <v>0</v>
      </c>
      <c r="AH12" s="57">
        <f>IF(COUNTIF(Overwash_Matrix!$C:$C,1992)=0,"",COUNTIFS(Overwash_Matrix!$C:$C,1992,Overwash_Matrix!AN:AN,1))</f>
        <v>0</v>
      </c>
      <c r="AI12" s="57">
        <f>IF(COUNTIF(Overwash_Matrix!$C:$C,1992)=0,"",COUNTIFS(Overwash_Matrix!$C:$C,1992,Overwash_Matrix!AO:AO,1))</f>
        <v>0</v>
      </c>
      <c r="AJ12" s="57">
        <f>IF(COUNTIF(Overwash_Matrix!$C:$C,1992)=0,"",COUNTIFS(Overwash_Matrix!$C:$C,1992,Overwash_Matrix!AP:AP,1))</f>
        <v>0</v>
      </c>
      <c r="AK12" s="57">
        <f>IF(COUNTIF(Overwash_Matrix!$C:$C,1992)=0,"",COUNTIFS(Overwash_Matrix!$C:$C,1992,Overwash_Matrix!AQ:AQ,1))</f>
        <v>0</v>
      </c>
      <c r="AL12" s="57">
        <f>IF(COUNTIF(Overwash_Matrix!$C:$C,1992)=0,"",COUNTIFS(Overwash_Matrix!$C:$C,1992,Overwash_Matrix!AR:AR,1))</f>
        <v>0</v>
      </c>
      <c r="AM12" s="57">
        <f>IF(COUNTIF(Overwash_Matrix!$C:$C,1992)=0,"",COUNTIFS(Overwash_Matrix!$C:$C,1992,Overwash_Matrix!AS:AS,1))</f>
        <v>0</v>
      </c>
      <c r="AN12" s="57">
        <f>IF(COUNTIF(Overwash_Matrix!$C:$C,1992)=0,"",COUNTIFS(Overwash_Matrix!$C:$C,1992,Overwash_Matrix!AT:AT,1))</f>
        <v>0</v>
      </c>
      <c r="AO12" s="57">
        <f>IF(COUNTIF(Overwash_Matrix!$C:$C,1992)=0,"",COUNTIFS(Overwash_Matrix!$C:$C,1992,Overwash_Matrix!AU:AU,1))</f>
        <v>0</v>
      </c>
      <c r="AP12" s="57">
        <f>IF(COUNTIF(Overwash_Matrix!$C:$C,1992)=0,"",COUNTIFS(Overwash_Matrix!$C:$C,1992,Overwash_Matrix!AV:AV,1))</f>
        <v>0</v>
      </c>
      <c r="AQ12" s="57">
        <f>IF(COUNTIF(Overwash_Matrix!$C:$C,1992)=0,"",COUNTIFS(Overwash_Matrix!$C:$C,1992,Overwash_Matrix!AW:AW,1))</f>
        <v>0</v>
      </c>
      <c r="AR12" s="57">
        <f>IF(COUNTIF(Overwash_Matrix!$C:$C,1992)=0,"",COUNTIFS(Overwash_Matrix!$C:$C,1992,Overwash_Matrix!AX:AX,1))</f>
        <v>0</v>
      </c>
      <c r="AS12" s="57">
        <f>IF(COUNTIF(Overwash_Matrix!$C:$C,1992)=0,"",COUNTIFS(Overwash_Matrix!$C:$C,1992,Overwash_Matrix!AY:AY,1))</f>
        <v>0</v>
      </c>
      <c r="AT12" s="57">
        <f>IF(COUNTIF(Overwash_Matrix!$C:$C,1992)=0,"",COUNTIFS(Overwash_Matrix!$C:$C,1992,Overwash_Matrix!AZ:AZ,1))</f>
        <v>0</v>
      </c>
      <c r="AU12" s="57">
        <f>IF(COUNTIF(Overwash_Matrix!$C:$C,1992)=0,"",COUNTIFS(Overwash_Matrix!$C:$C,1992,Overwash_Matrix!BA:BA,1))</f>
        <v>0</v>
      </c>
      <c r="AV12" s="57">
        <f>IF(COUNTIF(Overwash_Matrix!$C:$C,1992)=0,"",COUNTIFS(Overwash_Matrix!$C:$C,1992,Overwash_Matrix!BB:BB,1))</f>
        <v>0</v>
      </c>
      <c r="AW12" s="57">
        <f>IF(COUNTIF(Overwash_Matrix!$C:$C,1992)=0,"",COUNTIFS(Overwash_Matrix!$C:$C,1992,Overwash_Matrix!BC:BC,1))</f>
        <v>0</v>
      </c>
      <c r="AX12" s="57">
        <f>IF(COUNTIF(Overwash_Matrix!$C:$C,1992)=0,"",COUNTIFS(Overwash_Matrix!$C:$C,1992,Overwash_Matrix!BD:BD,1))</f>
        <v>0</v>
      </c>
      <c r="AY12" s="57">
        <f>IF(COUNTIF(Overwash_Matrix!$C:$C,1992)=0,"",COUNTIFS(Overwash_Matrix!$C:$C,1992,Overwash_Matrix!BE:BE,1))</f>
        <v>0</v>
      </c>
      <c r="AZ12" s="57">
        <f>IF(COUNTIF(Overwash_Matrix!$C:$C,1992)=0,"",COUNTIFS(Overwash_Matrix!$C:$C,1992,Overwash_Matrix!BF:BF,1))</f>
        <v>0</v>
      </c>
      <c r="BA12" s="57">
        <f>IF(COUNTIF(Overwash_Matrix!$C:$C,1992)=0,"",COUNTIFS(Overwash_Matrix!$C:$C,1992,Overwash_Matrix!BG:BG,1))</f>
        <v>0</v>
      </c>
      <c r="BB12" s="57">
        <f>IF(COUNTIF(Overwash_Matrix!$C:$C,1992)=0,"",COUNTIFS(Overwash_Matrix!$C:$C,1992,Overwash_Matrix!BH:BH,1))</f>
        <v>0</v>
      </c>
      <c r="BC12" s="57">
        <f>IF(COUNTIF(Overwash_Matrix!$C:$C,1992)=0,"",COUNTIFS(Overwash_Matrix!$C:$C,1992,Overwash_Matrix!BI:BI,1))</f>
        <v>0</v>
      </c>
      <c r="BD12" s="57">
        <f>IF(COUNTIF(Overwash_Matrix!$C:$C,1992)=0,"",COUNTIFS(Overwash_Matrix!$C:$C,1992,Overwash_Matrix!BJ:BJ,1))</f>
        <v>0</v>
      </c>
      <c r="BE12" s="57">
        <f>IF(COUNTIF(Overwash_Matrix!$C:$C,1992)=0,"",COUNTIFS(Overwash_Matrix!$C:$C,1992,Overwash_Matrix!BK:BK,1))</f>
        <v>0</v>
      </c>
      <c r="BF12" s="57">
        <f>IF(COUNTIF(Overwash_Matrix!$C:$C,1992)=0,"",COUNTIFS(Overwash_Matrix!$C:$C,1992,Overwash_Matrix!BL:BL,1))</f>
        <v>0</v>
      </c>
      <c r="BG12" s="57">
        <f>IF(COUNTIF(Overwash_Matrix!$C:$C,1992)=0,"",COUNTIFS(Overwash_Matrix!$C:$C,1992,Overwash_Matrix!BM:BM,1))</f>
        <v>0</v>
      </c>
      <c r="BH12" s="57">
        <f>IF(COUNTIF(Overwash_Matrix!$C:$C,1992)=0,"",COUNTIFS(Overwash_Matrix!$C:$C,1992,Overwash_Matrix!BN:BN,1))</f>
        <v>0</v>
      </c>
      <c r="BI12" s="57">
        <f>IF(COUNTIF(Overwash_Matrix!$C:$C,1992)=0,"",COUNTIFS(Overwash_Matrix!$C:$C,1992,Overwash_Matrix!BO:BO,1))</f>
        <v>0</v>
      </c>
      <c r="BJ12" s="57">
        <f>IF(COUNTIF(Overwash_Matrix!$C:$C,1992)=0,"",COUNTIFS(Overwash_Matrix!$C:$C,1992,Overwash_Matrix!BP:BP,1))</f>
        <v>0</v>
      </c>
      <c r="BK12" s="57">
        <f>IF(COUNTIF(Overwash_Matrix!$C:$C,1992)=0,"",COUNTIFS(Overwash_Matrix!$C:$C,1992,Overwash_Matrix!BQ:BQ,1))</f>
        <v>0</v>
      </c>
      <c r="BL12" s="57">
        <f>IF(COUNTIF(Overwash_Matrix!$C:$C,1992)=0,"",COUNTIFS(Overwash_Matrix!$C:$C,1992,Overwash_Matrix!BR:BR,1))</f>
        <v>0</v>
      </c>
      <c r="BM12" s="57">
        <f>IF(COUNTIF(Overwash_Matrix!$C:$C,1992)=0,"",COUNTIFS(Overwash_Matrix!$C:$C,1992,Overwash_Matrix!BS:BS,1))</f>
        <v>0</v>
      </c>
      <c r="BN12" s="57">
        <f>IF(COUNTIF(Overwash_Matrix!$C:$C,1992)=0,"",COUNTIFS(Overwash_Matrix!$C:$C,1992,Overwash_Matrix!BT:BT,1))</f>
        <v>0</v>
      </c>
      <c r="BO12" s="57">
        <f>IF(COUNTIF(Overwash_Matrix!$C:$C,1992)=0,"",COUNTIFS(Overwash_Matrix!$C:$C,1992,Overwash_Matrix!BU:BU,1))</f>
        <v>0</v>
      </c>
      <c r="BP12" s="57">
        <f>IF(COUNTIF(Overwash_Matrix!$C:$C,1992)=0,"",COUNTIFS(Overwash_Matrix!$C:$C,1992,Overwash_Matrix!BV:BV,1))</f>
        <v>0</v>
      </c>
      <c r="BQ12" s="57">
        <f>IF(COUNTIF(Overwash_Matrix!$C:$C,1992)=0,"",COUNTIFS(Overwash_Matrix!$C:$C,1992,Overwash_Matrix!BW:BW,1))</f>
        <v>0</v>
      </c>
      <c r="BR12" s="57">
        <f>IF(COUNTIF(Overwash_Matrix!$C:$C,1992)=0,"",COUNTIFS(Overwash_Matrix!$C:$C,1992,Overwash_Matrix!BX:BX,1))</f>
        <v>0</v>
      </c>
      <c r="BS12" s="57">
        <f>IF(COUNTIF(Overwash_Matrix!$C:$C,1992)=0,"",COUNTIFS(Overwash_Matrix!$C:$C,1992,Overwash_Matrix!BY:BY,1))</f>
        <v>0</v>
      </c>
      <c r="BT12" s="57">
        <f>IF(COUNTIF(Overwash_Matrix!$C:$C,1992)=0,"",COUNTIFS(Overwash_Matrix!$C:$C,1992,Overwash_Matrix!BZ:BZ,1))</f>
        <v>0</v>
      </c>
      <c r="BU12" s="57">
        <f>IF(COUNTIF(Overwash_Matrix!$C:$C,1992)=0,"",COUNTIFS(Overwash_Matrix!$C:$C,1992,Overwash_Matrix!CA:CA,1))</f>
        <v>0</v>
      </c>
      <c r="BV12" s="57">
        <f>IF(COUNTIF(Overwash_Matrix!$C:$C,1992)=0,"",COUNTIFS(Overwash_Matrix!$C:$C,1992,Overwash_Matrix!CB:CB,1))</f>
        <v>0</v>
      </c>
      <c r="BW12" s="57">
        <f>IF(COUNTIF(Overwash_Matrix!$C:$C,1992)=0,"",COUNTIFS(Overwash_Matrix!$C:$C,1992,Overwash_Matrix!CC:CC,1))</f>
        <v>0</v>
      </c>
      <c r="BX12" s="57">
        <f>IF(COUNTIF(Overwash_Matrix!$C:$C,1992)=0,"",COUNTIFS(Overwash_Matrix!$C:$C,1992,Overwash_Matrix!CD:CD,1))</f>
        <v>0</v>
      </c>
      <c r="BY12" s="57">
        <f>IF(COUNTIF(Overwash_Matrix!$C:$C,1992)=0,"",COUNTIFS(Overwash_Matrix!$C:$C,1992,Overwash_Matrix!CE:CE,1))</f>
        <v>0</v>
      </c>
      <c r="BZ12" s="57">
        <f>IF(COUNTIF(Overwash_Matrix!$C:$C,1992)=0,"",COUNTIFS(Overwash_Matrix!$C:$C,1992,Overwash_Matrix!CF:CF,1))</f>
        <v>0</v>
      </c>
      <c r="CA12" s="57">
        <f>IF(COUNTIF(Overwash_Matrix!$C:$C,1992)=0,"",COUNTIFS(Overwash_Matrix!$C:$C,1992,Overwash_Matrix!CG:CG,1))</f>
        <v>0</v>
      </c>
      <c r="CB12" s="57">
        <f>IF(COUNTIF(Overwash_Matrix!$C:$C,1992)=0,"",COUNTIFS(Overwash_Matrix!$C:$C,1992,Overwash_Matrix!CH:CH,1))</f>
        <v>0</v>
      </c>
      <c r="CC12" s="57">
        <f>IF(COUNTIF(Overwash_Matrix!$C:$C,1992)=0,"",COUNTIFS(Overwash_Matrix!$C:$C,1992,Overwash_Matrix!CI:CI,1))</f>
        <v>1</v>
      </c>
      <c r="CD12" s="57">
        <f>IF(COUNTIF(Overwash_Matrix!$C:$C,1992)=0,"",COUNTIFS(Overwash_Matrix!$C:$C,1992,Overwash_Matrix!CJ:CJ,1))</f>
        <v>1</v>
      </c>
      <c r="CE12" s="57">
        <f>IF(COUNTIF(Overwash_Matrix!$C:$C,1992)=0,"",COUNTIFS(Overwash_Matrix!$C:$C,1992,Overwash_Matrix!CK:CK,1))</f>
        <v>1</v>
      </c>
      <c r="CF12" s="57">
        <f>IF(COUNTIF(Overwash_Matrix!$C:$C,1992)=0,"",COUNTIFS(Overwash_Matrix!$C:$C,1992,Overwash_Matrix!CL:CL,1))</f>
        <v>0</v>
      </c>
      <c r="CG12" s="57">
        <f>IF(COUNTIF(Overwash_Matrix!$C:$C,1992)=0,"",COUNTIFS(Overwash_Matrix!$C:$C,1992,Overwash_Matrix!CM:CM,1))</f>
        <v>0</v>
      </c>
      <c r="CH12" s="57">
        <f>IF(COUNTIF(Overwash_Matrix!$C:$C,1992)=0,"",COUNTIFS(Overwash_Matrix!$C:$C,1992,Overwash_Matrix!CN:CN,1))</f>
        <v>1</v>
      </c>
      <c r="CI12" s="57">
        <f>IF(COUNTIF(Overwash_Matrix!$C:$C,1992)=0,"",COUNTIFS(Overwash_Matrix!$C:$C,1992,Overwash_Matrix!CO:CO,1))</f>
        <v>1</v>
      </c>
      <c r="CJ12" s="57">
        <f>IF(COUNTIF(Overwash_Matrix!$C:$C,1992)=0,"",COUNTIFS(Overwash_Matrix!$C:$C,1992,Overwash_Matrix!CP:CP,1))</f>
        <v>1</v>
      </c>
      <c r="CK12" s="57">
        <f>IF(COUNTIF(Overwash_Matrix!$C:$C,1992)=0,"",COUNTIFS(Overwash_Matrix!$C:$C,1992,Overwash_Matrix!CQ:CQ,1))</f>
        <v>0</v>
      </c>
      <c r="CL12" s="57">
        <f>IF(COUNTIF(Overwash_Matrix!$C:$C,1992)=0,"",COUNTIFS(Overwash_Matrix!$C:$C,1992,Overwash_Matrix!CR:CR,1))</f>
        <v>0</v>
      </c>
      <c r="CM12" s="57">
        <f>IF(COUNTIF(Overwash_Matrix!$C:$C,1992)=0,"",COUNTIFS(Overwash_Matrix!$C:$C,1992,Overwash_Matrix!CS:CS,1))</f>
        <v>0</v>
      </c>
      <c r="CN12" s="57">
        <f>IF(COUNTIF(Overwash_Matrix!$C:$C,1992)=0,"",COUNTIFS(Overwash_Matrix!$C:$C,1992,Overwash_Matrix!CT:CT,1))</f>
        <v>0</v>
      </c>
    </row>
    <row r="13" ht="13.5" customHeight="1">
      <c r="A13" s="88">
        <v>1993.0</v>
      </c>
      <c r="B13" s="89">
        <f>COUNTIF(Overwash_Matrix!$C:$C,1993)</f>
        <v>1</v>
      </c>
      <c r="C13" s="53">
        <f>IF(COUNTIF(Overwash_Matrix!$C:$C,1993)=0,"",COUNTIFS(Overwash_Matrix!$C:$C,1993,Overwash_Matrix!I:I,1))</f>
        <v>0</v>
      </c>
      <c r="D13" s="53">
        <f>IF(COUNTIF(Overwash_Matrix!$C:$C,1993)=0,"",COUNTIFS(Overwash_Matrix!$C:$C,1993,Overwash_Matrix!J:J,1))</f>
        <v>0</v>
      </c>
      <c r="E13" s="53">
        <f>IF(COUNTIF(Overwash_Matrix!$C:$C,1993)=0,"",COUNTIFS(Overwash_Matrix!$C:$C,1993,Overwash_Matrix!K:K,1))</f>
        <v>0</v>
      </c>
      <c r="F13" s="53">
        <f>IF(COUNTIF(Overwash_Matrix!$C:$C,1993)=0,"",COUNTIFS(Overwash_Matrix!$C:$C,1993,Overwash_Matrix!L:L,1))</f>
        <v>0</v>
      </c>
      <c r="G13" s="53">
        <f>IF(COUNTIF(Overwash_Matrix!$C:$C,1993)=0,"",COUNTIFS(Overwash_Matrix!$C:$C,1993,Overwash_Matrix!M:M,1))</f>
        <v>1</v>
      </c>
      <c r="H13" s="53">
        <f>IF(COUNTIF(Overwash_Matrix!$C:$C,1993)=0,"",COUNTIFS(Overwash_Matrix!$C:$C,1993,Overwash_Matrix!N:N,1))</f>
        <v>0</v>
      </c>
      <c r="I13" s="53">
        <f>IF(COUNTIF(Overwash_Matrix!$C:$C,1993)=0,"",COUNTIFS(Overwash_Matrix!$C:$C,1993,Overwash_Matrix!O:O,1))</f>
        <v>0</v>
      </c>
      <c r="J13" s="53">
        <f>IF(COUNTIF(Overwash_Matrix!$C:$C,1993)=0,"",COUNTIFS(Overwash_Matrix!$C:$C,1993,Overwash_Matrix!P:P,1))</f>
        <v>0</v>
      </c>
      <c r="K13" s="53">
        <f>IF(COUNTIF(Overwash_Matrix!$C:$C,1993)=0,"",COUNTIFS(Overwash_Matrix!$C:$C,1993,Overwash_Matrix!Q:Q,1))</f>
        <v>0</v>
      </c>
      <c r="L13" s="53">
        <f>IF(COUNTIF(Overwash_Matrix!$C:$C,1993)=0,"",COUNTIFS(Overwash_Matrix!$C:$C,1993,Overwash_Matrix!R:R,1))</f>
        <v>0</v>
      </c>
      <c r="M13" s="53">
        <f>IF(COUNTIF(Overwash_Matrix!$C:$C,1993)=0,"",COUNTIFS(Overwash_Matrix!$C:$C,1993,Overwash_Matrix!S:S,1))</f>
        <v>0</v>
      </c>
      <c r="N13" s="53">
        <f>IF(COUNTIF(Overwash_Matrix!$C:$C,1993)=0,"",COUNTIFS(Overwash_Matrix!$C:$C,1993,Overwash_Matrix!T:T,1))</f>
        <v>0</v>
      </c>
      <c r="O13" s="53">
        <f>IF(COUNTIF(Overwash_Matrix!$C:$C,1993)=0,"",COUNTIFS(Overwash_Matrix!$C:$C,1993,Overwash_Matrix!U:U,1))</f>
        <v>0</v>
      </c>
      <c r="P13" s="53">
        <f>IF(COUNTIF(Overwash_Matrix!$C:$C,1993)=0,"",COUNTIFS(Overwash_Matrix!$C:$C,1993,Overwash_Matrix!V:V,1))</f>
        <v>0</v>
      </c>
      <c r="Q13" s="53">
        <f>IF(COUNTIF(Overwash_Matrix!$C:$C,1993)=0,"",COUNTIFS(Overwash_Matrix!$C:$C,1993,Overwash_Matrix!W:W,1))</f>
        <v>0</v>
      </c>
      <c r="R13" s="53">
        <f>IF(COUNTIF(Overwash_Matrix!$C:$C,1993)=0,"",COUNTIFS(Overwash_Matrix!$C:$C,1993,Overwash_Matrix!X:X,1))</f>
        <v>0</v>
      </c>
      <c r="S13" s="53">
        <f>IF(COUNTIF(Overwash_Matrix!$C:$C,1993)=0,"",COUNTIFS(Overwash_Matrix!$C:$C,1993,Overwash_Matrix!Y:Y,1))</f>
        <v>0</v>
      </c>
      <c r="T13" s="53">
        <f>IF(COUNTIF(Overwash_Matrix!$C:$C,1993)=0,"",COUNTIFS(Overwash_Matrix!$C:$C,1993,Overwash_Matrix!Z:Z,1))</f>
        <v>0</v>
      </c>
      <c r="U13" s="53">
        <f>IF(COUNTIF(Overwash_Matrix!$C:$C,1993)=0,"",COUNTIFS(Overwash_Matrix!$C:$C,1993,Overwash_Matrix!AA:AA,1))</f>
        <v>0</v>
      </c>
      <c r="V13" s="53">
        <f>IF(COUNTIF(Overwash_Matrix!$C:$C,1993)=0,"",COUNTIFS(Overwash_Matrix!$C:$C,1993,Overwash_Matrix!AB:AB,1))</f>
        <v>0</v>
      </c>
      <c r="W13" s="53">
        <f>IF(COUNTIF(Overwash_Matrix!$C:$C,1993)=0,"",COUNTIFS(Overwash_Matrix!$C:$C,1993,Overwash_Matrix!AC:AC,1))</f>
        <v>0</v>
      </c>
      <c r="X13" s="53">
        <f>IF(COUNTIF(Overwash_Matrix!$C:$C,1993)=0,"",COUNTIFS(Overwash_Matrix!$C:$C,1993,Overwash_Matrix!AD:AD,1))</f>
        <v>0</v>
      </c>
      <c r="Y13" s="53">
        <f>IF(COUNTIF(Overwash_Matrix!$C:$C,1993)=0,"",COUNTIFS(Overwash_Matrix!$C:$C,1993,Overwash_Matrix!AE:AE,1))</f>
        <v>0</v>
      </c>
      <c r="Z13" s="53">
        <f>IF(COUNTIF(Overwash_Matrix!$C:$C,1993)=0,"",COUNTIFS(Overwash_Matrix!$C:$C,1993,Overwash_Matrix!AF:AF,1))</f>
        <v>0</v>
      </c>
      <c r="AA13" s="53">
        <f>IF(COUNTIF(Overwash_Matrix!$C:$C,1993)=0,"",COUNTIFS(Overwash_Matrix!$C:$C,1993,Overwash_Matrix!AG:AG,1))</f>
        <v>0</v>
      </c>
      <c r="AB13" s="53">
        <f>IF(COUNTIF(Overwash_Matrix!$C:$C,1993)=0,"",COUNTIFS(Overwash_Matrix!$C:$C,1993,Overwash_Matrix!AH:AH,1))</f>
        <v>0</v>
      </c>
      <c r="AC13" s="53">
        <f>IF(COUNTIF(Overwash_Matrix!$C:$C,1993)=0,"",COUNTIFS(Overwash_Matrix!$C:$C,1993,Overwash_Matrix!AI:AI,1))</f>
        <v>0</v>
      </c>
      <c r="AD13" s="53">
        <f>IF(COUNTIF(Overwash_Matrix!$C:$C,1993)=0,"",COUNTIFS(Overwash_Matrix!$C:$C,1993,Overwash_Matrix!AJ:AJ,1))</f>
        <v>0</v>
      </c>
      <c r="AE13" s="53">
        <f>IF(COUNTIF(Overwash_Matrix!$C:$C,1993)=0,"",COUNTIFS(Overwash_Matrix!$C:$C,1993,Overwash_Matrix!AK:AK,1))</f>
        <v>0</v>
      </c>
      <c r="AF13" s="53">
        <f>IF(COUNTIF(Overwash_Matrix!$C:$C,1993)=0,"",COUNTIFS(Overwash_Matrix!$C:$C,1993,Overwash_Matrix!AL:AL,1))</f>
        <v>0</v>
      </c>
      <c r="AG13" s="53">
        <f>IF(COUNTIF(Overwash_Matrix!$C:$C,1993)=0,"",COUNTIFS(Overwash_Matrix!$C:$C,1993,Overwash_Matrix!AM:AM,1))</f>
        <v>0</v>
      </c>
      <c r="AH13" s="53">
        <f>IF(COUNTIF(Overwash_Matrix!$C:$C,1993)=0,"",COUNTIFS(Overwash_Matrix!$C:$C,1993,Overwash_Matrix!AN:AN,1))</f>
        <v>0</v>
      </c>
      <c r="AI13" s="53">
        <f>IF(COUNTIF(Overwash_Matrix!$C:$C,1993)=0,"",COUNTIFS(Overwash_Matrix!$C:$C,1993,Overwash_Matrix!AO:AO,1))</f>
        <v>0</v>
      </c>
      <c r="AJ13" s="53">
        <f>IF(COUNTIF(Overwash_Matrix!$C:$C,1993)=0,"",COUNTIFS(Overwash_Matrix!$C:$C,1993,Overwash_Matrix!AP:AP,1))</f>
        <v>0</v>
      </c>
      <c r="AK13" s="53">
        <f>IF(COUNTIF(Overwash_Matrix!$C:$C,1993)=0,"",COUNTIFS(Overwash_Matrix!$C:$C,1993,Overwash_Matrix!AQ:AQ,1))</f>
        <v>0</v>
      </c>
      <c r="AL13" s="53">
        <f>IF(COUNTIF(Overwash_Matrix!$C:$C,1993)=0,"",COUNTIFS(Overwash_Matrix!$C:$C,1993,Overwash_Matrix!AR:AR,1))</f>
        <v>0</v>
      </c>
      <c r="AM13" s="53">
        <f>IF(COUNTIF(Overwash_Matrix!$C:$C,1993)=0,"",COUNTIFS(Overwash_Matrix!$C:$C,1993,Overwash_Matrix!AS:AS,1))</f>
        <v>0</v>
      </c>
      <c r="AN13" s="53">
        <f>IF(COUNTIF(Overwash_Matrix!$C:$C,1993)=0,"",COUNTIFS(Overwash_Matrix!$C:$C,1993,Overwash_Matrix!AT:AT,1))</f>
        <v>0</v>
      </c>
      <c r="AO13" s="53">
        <f>IF(COUNTIF(Overwash_Matrix!$C:$C,1993)=0,"",COUNTIFS(Overwash_Matrix!$C:$C,1993,Overwash_Matrix!AU:AU,1))</f>
        <v>0</v>
      </c>
      <c r="AP13" s="53">
        <f>IF(COUNTIF(Overwash_Matrix!$C:$C,1993)=0,"",COUNTIFS(Overwash_Matrix!$C:$C,1993,Overwash_Matrix!AV:AV,1))</f>
        <v>0</v>
      </c>
      <c r="AQ13" s="53">
        <f>IF(COUNTIF(Overwash_Matrix!$C:$C,1993)=0,"",COUNTIFS(Overwash_Matrix!$C:$C,1993,Overwash_Matrix!AW:AW,1))</f>
        <v>0</v>
      </c>
      <c r="AR13" s="53">
        <f>IF(COUNTIF(Overwash_Matrix!$C:$C,1993)=0,"",COUNTIFS(Overwash_Matrix!$C:$C,1993,Overwash_Matrix!AX:AX,1))</f>
        <v>0</v>
      </c>
      <c r="AS13" s="53">
        <f>IF(COUNTIF(Overwash_Matrix!$C:$C,1993)=0,"",COUNTIFS(Overwash_Matrix!$C:$C,1993,Overwash_Matrix!AY:AY,1))</f>
        <v>0</v>
      </c>
      <c r="AT13" s="53">
        <f>IF(COUNTIF(Overwash_Matrix!$C:$C,1993)=0,"",COUNTIFS(Overwash_Matrix!$C:$C,1993,Overwash_Matrix!AZ:AZ,1))</f>
        <v>0</v>
      </c>
      <c r="AU13" s="53">
        <f>IF(COUNTIF(Overwash_Matrix!$C:$C,1993)=0,"",COUNTIFS(Overwash_Matrix!$C:$C,1993,Overwash_Matrix!BA:BA,1))</f>
        <v>0</v>
      </c>
      <c r="AV13" s="53">
        <f>IF(COUNTIF(Overwash_Matrix!$C:$C,1993)=0,"",COUNTIFS(Overwash_Matrix!$C:$C,1993,Overwash_Matrix!BB:BB,1))</f>
        <v>0</v>
      </c>
      <c r="AW13" s="53">
        <f>IF(COUNTIF(Overwash_Matrix!$C:$C,1993)=0,"",COUNTIFS(Overwash_Matrix!$C:$C,1993,Overwash_Matrix!BC:BC,1))</f>
        <v>0</v>
      </c>
      <c r="AX13" s="53">
        <f>IF(COUNTIF(Overwash_Matrix!$C:$C,1993)=0,"",COUNTIFS(Overwash_Matrix!$C:$C,1993,Overwash_Matrix!BD:BD,1))</f>
        <v>0</v>
      </c>
      <c r="AY13" s="53">
        <f>IF(COUNTIF(Overwash_Matrix!$C:$C,1993)=0,"",COUNTIFS(Overwash_Matrix!$C:$C,1993,Overwash_Matrix!BE:BE,1))</f>
        <v>0</v>
      </c>
      <c r="AZ13" s="53">
        <f>IF(COUNTIF(Overwash_Matrix!$C:$C,1993)=0,"",COUNTIFS(Overwash_Matrix!$C:$C,1993,Overwash_Matrix!BF:BF,1))</f>
        <v>0</v>
      </c>
      <c r="BA13" s="53">
        <f>IF(COUNTIF(Overwash_Matrix!$C:$C,1993)=0,"",COUNTIFS(Overwash_Matrix!$C:$C,1993,Overwash_Matrix!BG:BG,1))</f>
        <v>0</v>
      </c>
      <c r="BB13" s="53">
        <f>IF(COUNTIF(Overwash_Matrix!$C:$C,1993)=0,"",COUNTIFS(Overwash_Matrix!$C:$C,1993,Overwash_Matrix!BH:BH,1))</f>
        <v>0</v>
      </c>
      <c r="BC13" s="53">
        <f>IF(COUNTIF(Overwash_Matrix!$C:$C,1993)=0,"",COUNTIFS(Overwash_Matrix!$C:$C,1993,Overwash_Matrix!BI:BI,1))</f>
        <v>0</v>
      </c>
      <c r="BD13" s="53">
        <f>IF(COUNTIF(Overwash_Matrix!$C:$C,1993)=0,"",COUNTIFS(Overwash_Matrix!$C:$C,1993,Overwash_Matrix!BJ:BJ,1))</f>
        <v>0</v>
      </c>
      <c r="BE13" s="53">
        <f>IF(COUNTIF(Overwash_Matrix!$C:$C,1993)=0,"",COUNTIFS(Overwash_Matrix!$C:$C,1993,Overwash_Matrix!BK:BK,1))</f>
        <v>0</v>
      </c>
      <c r="BF13" s="53">
        <f>IF(COUNTIF(Overwash_Matrix!$C:$C,1993)=0,"",COUNTIFS(Overwash_Matrix!$C:$C,1993,Overwash_Matrix!BL:BL,1))</f>
        <v>0</v>
      </c>
      <c r="BG13" s="53">
        <f>IF(COUNTIF(Overwash_Matrix!$C:$C,1993)=0,"",COUNTIFS(Overwash_Matrix!$C:$C,1993,Overwash_Matrix!BM:BM,1))</f>
        <v>0</v>
      </c>
      <c r="BH13" s="53">
        <f>IF(COUNTIF(Overwash_Matrix!$C:$C,1993)=0,"",COUNTIFS(Overwash_Matrix!$C:$C,1993,Overwash_Matrix!BN:BN,1))</f>
        <v>0</v>
      </c>
      <c r="BI13" s="53">
        <f>IF(COUNTIF(Overwash_Matrix!$C:$C,1993)=0,"",COUNTIFS(Overwash_Matrix!$C:$C,1993,Overwash_Matrix!BO:BO,1))</f>
        <v>0</v>
      </c>
      <c r="BJ13" s="53">
        <f>IF(COUNTIF(Overwash_Matrix!$C:$C,1993)=0,"",COUNTIFS(Overwash_Matrix!$C:$C,1993,Overwash_Matrix!BP:BP,1))</f>
        <v>0</v>
      </c>
      <c r="BK13" s="53">
        <f>IF(COUNTIF(Overwash_Matrix!$C:$C,1993)=0,"",COUNTIFS(Overwash_Matrix!$C:$C,1993,Overwash_Matrix!BQ:BQ,1))</f>
        <v>0</v>
      </c>
      <c r="BL13" s="53">
        <f>IF(COUNTIF(Overwash_Matrix!$C:$C,1993)=0,"",COUNTIFS(Overwash_Matrix!$C:$C,1993,Overwash_Matrix!BR:BR,1))</f>
        <v>0</v>
      </c>
      <c r="BM13" s="53">
        <f>IF(COUNTIF(Overwash_Matrix!$C:$C,1993)=0,"",COUNTIFS(Overwash_Matrix!$C:$C,1993,Overwash_Matrix!BS:BS,1))</f>
        <v>0</v>
      </c>
      <c r="BN13" s="53">
        <f>IF(COUNTIF(Overwash_Matrix!$C:$C,1993)=0,"",COUNTIFS(Overwash_Matrix!$C:$C,1993,Overwash_Matrix!BT:BT,1))</f>
        <v>0</v>
      </c>
      <c r="BO13" s="53">
        <f>IF(COUNTIF(Overwash_Matrix!$C:$C,1993)=0,"",COUNTIFS(Overwash_Matrix!$C:$C,1993,Overwash_Matrix!BU:BU,1))</f>
        <v>0</v>
      </c>
      <c r="BP13" s="53">
        <f>IF(COUNTIF(Overwash_Matrix!$C:$C,1993)=0,"",COUNTIFS(Overwash_Matrix!$C:$C,1993,Overwash_Matrix!BV:BV,1))</f>
        <v>0</v>
      </c>
      <c r="BQ13" s="53">
        <f>IF(COUNTIF(Overwash_Matrix!$C:$C,1993)=0,"",COUNTIFS(Overwash_Matrix!$C:$C,1993,Overwash_Matrix!BW:BW,1))</f>
        <v>0</v>
      </c>
      <c r="BR13" s="53">
        <f>IF(COUNTIF(Overwash_Matrix!$C:$C,1993)=0,"",COUNTIFS(Overwash_Matrix!$C:$C,1993,Overwash_Matrix!BX:BX,1))</f>
        <v>0</v>
      </c>
      <c r="BS13" s="53">
        <f>IF(COUNTIF(Overwash_Matrix!$C:$C,1993)=0,"",COUNTIFS(Overwash_Matrix!$C:$C,1993,Overwash_Matrix!BY:BY,1))</f>
        <v>0</v>
      </c>
      <c r="BT13" s="53">
        <f>IF(COUNTIF(Overwash_Matrix!$C:$C,1993)=0,"",COUNTIFS(Overwash_Matrix!$C:$C,1993,Overwash_Matrix!BZ:BZ,1))</f>
        <v>0</v>
      </c>
      <c r="BU13" s="53">
        <f>IF(COUNTIF(Overwash_Matrix!$C:$C,1993)=0,"",COUNTIFS(Overwash_Matrix!$C:$C,1993,Overwash_Matrix!CA:CA,1))</f>
        <v>0</v>
      </c>
      <c r="BV13" s="53">
        <f>IF(COUNTIF(Overwash_Matrix!$C:$C,1993)=0,"",COUNTIFS(Overwash_Matrix!$C:$C,1993,Overwash_Matrix!CB:CB,1))</f>
        <v>0</v>
      </c>
      <c r="BW13" s="53">
        <f>IF(COUNTIF(Overwash_Matrix!$C:$C,1993)=0,"",COUNTIFS(Overwash_Matrix!$C:$C,1993,Overwash_Matrix!CC:CC,1))</f>
        <v>0</v>
      </c>
      <c r="BX13" s="53">
        <f>IF(COUNTIF(Overwash_Matrix!$C:$C,1993)=0,"",COUNTIFS(Overwash_Matrix!$C:$C,1993,Overwash_Matrix!CD:CD,1))</f>
        <v>0</v>
      </c>
      <c r="BY13" s="53">
        <f>IF(COUNTIF(Overwash_Matrix!$C:$C,1993)=0,"",COUNTIFS(Overwash_Matrix!$C:$C,1993,Overwash_Matrix!CE:CE,1))</f>
        <v>0</v>
      </c>
      <c r="BZ13" s="53">
        <f>IF(COUNTIF(Overwash_Matrix!$C:$C,1993)=0,"",COUNTIFS(Overwash_Matrix!$C:$C,1993,Overwash_Matrix!CF:CF,1))</f>
        <v>0</v>
      </c>
      <c r="CA13" s="53">
        <f>IF(COUNTIF(Overwash_Matrix!$C:$C,1993)=0,"",COUNTIFS(Overwash_Matrix!$C:$C,1993,Overwash_Matrix!CG:CG,1))</f>
        <v>0</v>
      </c>
      <c r="CB13" s="53">
        <f>IF(COUNTIF(Overwash_Matrix!$C:$C,1993)=0,"",COUNTIFS(Overwash_Matrix!$C:$C,1993,Overwash_Matrix!CH:CH,1))</f>
        <v>0</v>
      </c>
      <c r="CC13" s="53">
        <f>IF(COUNTIF(Overwash_Matrix!$C:$C,1993)=0,"",COUNTIFS(Overwash_Matrix!$C:$C,1993,Overwash_Matrix!CI:CI,1))</f>
        <v>0</v>
      </c>
      <c r="CD13" s="53">
        <f>IF(COUNTIF(Overwash_Matrix!$C:$C,1993)=0,"",COUNTIFS(Overwash_Matrix!$C:$C,1993,Overwash_Matrix!CJ:CJ,1))</f>
        <v>0</v>
      </c>
      <c r="CE13" s="53">
        <f>IF(COUNTIF(Overwash_Matrix!$C:$C,1993)=0,"",COUNTIFS(Overwash_Matrix!$C:$C,1993,Overwash_Matrix!CK:CK,1))</f>
        <v>0</v>
      </c>
      <c r="CF13" s="53">
        <f>IF(COUNTIF(Overwash_Matrix!$C:$C,1993)=0,"",COUNTIFS(Overwash_Matrix!$C:$C,1993,Overwash_Matrix!CL:CL,1))</f>
        <v>1</v>
      </c>
      <c r="CG13" s="53">
        <f>IF(COUNTIF(Overwash_Matrix!$C:$C,1993)=0,"",COUNTIFS(Overwash_Matrix!$C:$C,1993,Overwash_Matrix!CM:CM,1))</f>
        <v>1</v>
      </c>
      <c r="CH13" s="53">
        <f>IF(COUNTIF(Overwash_Matrix!$C:$C,1993)=0,"",COUNTIFS(Overwash_Matrix!$C:$C,1993,Overwash_Matrix!CN:CN,1))</f>
        <v>0</v>
      </c>
      <c r="CI13" s="53">
        <f>IF(COUNTIF(Overwash_Matrix!$C:$C,1993)=0,"",COUNTIFS(Overwash_Matrix!$C:$C,1993,Overwash_Matrix!CO:CO,1))</f>
        <v>0</v>
      </c>
      <c r="CJ13" s="53">
        <f>IF(COUNTIF(Overwash_Matrix!$C:$C,1993)=0,"",COUNTIFS(Overwash_Matrix!$C:$C,1993,Overwash_Matrix!CP:CP,1))</f>
        <v>0</v>
      </c>
      <c r="CK13" s="53">
        <f>IF(COUNTIF(Overwash_Matrix!$C:$C,1993)=0,"",COUNTIFS(Overwash_Matrix!$C:$C,1993,Overwash_Matrix!CQ:CQ,1))</f>
        <v>1</v>
      </c>
      <c r="CL13" s="53">
        <f>IF(COUNTIF(Overwash_Matrix!$C:$C,1993)=0,"",COUNTIFS(Overwash_Matrix!$C:$C,1993,Overwash_Matrix!CR:CR,1))</f>
        <v>1</v>
      </c>
      <c r="CM13" s="53">
        <f>IF(COUNTIF(Overwash_Matrix!$C:$C,1993)=0,"",COUNTIFS(Overwash_Matrix!$C:$C,1993,Overwash_Matrix!CS:CS,1))</f>
        <v>1</v>
      </c>
      <c r="CN13" s="53">
        <f>IF(COUNTIF(Overwash_Matrix!$C:$C,1993)=0,"",COUNTIFS(Overwash_Matrix!$C:$C,1993,Overwash_Matrix!CT:CT,1))</f>
        <v>1</v>
      </c>
    </row>
    <row r="14" ht="13.5" customHeight="1">
      <c r="A14" s="86">
        <v>1994.0</v>
      </c>
      <c r="B14" s="87">
        <f>COUNTIF(Overwash_Matrix!$C:$C,1994)</f>
        <v>0</v>
      </c>
      <c r="C14" s="57" t="str">
        <f>IF(COUNTIF(Overwash_Matrix!$C:$C,1994)=0,"",COUNTIFS(Overwash_Matrix!$C:$C,1994,Overwash_Matrix!I:I,1))</f>
        <v/>
      </c>
      <c r="D14" s="57" t="str">
        <f>IF(COUNTIF(Overwash_Matrix!$C:$C,1994)=0,"",COUNTIFS(Overwash_Matrix!$C:$C,1994,Overwash_Matrix!J:J,1))</f>
        <v/>
      </c>
      <c r="E14" s="57" t="str">
        <f>IF(COUNTIF(Overwash_Matrix!$C:$C,1994)=0,"",COUNTIFS(Overwash_Matrix!$C:$C,1994,Overwash_Matrix!K:K,1))</f>
        <v/>
      </c>
      <c r="F14" s="57" t="str">
        <f>IF(COUNTIF(Overwash_Matrix!$C:$C,1994)=0,"",COUNTIFS(Overwash_Matrix!$C:$C,1994,Overwash_Matrix!L:L,1))</f>
        <v/>
      </c>
      <c r="G14" s="57" t="str">
        <f>IF(COUNTIF(Overwash_Matrix!$C:$C,1994)=0,"",COUNTIFS(Overwash_Matrix!$C:$C,1994,Overwash_Matrix!M:M,1))</f>
        <v/>
      </c>
      <c r="H14" s="57" t="str">
        <f>IF(COUNTIF(Overwash_Matrix!$C:$C,1994)=0,"",COUNTIFS(Overwash_Matrix!$C:$C,1994,Overwash_Matrix!N:N,1))</f>
        <v/>
      </c>
      <c r="I14" s="57" t="str">
        <f>IF(COUNTIF(Overwash_Matrix!$C:$C,1994)=0,"",COUNTIFS(Overwash_Matrix!$C:$C,1994,Overwash_Matrix!O:O,1))</f>
        <v/>
      </c>
      <c r="J14" s="57" t="str">
        <f>IF(COUNTIF(Overwash_Matrix!$C:$C,1994)=0,"",COUNTIFS(Overwash_Matrix!$C:$C,1994,Overwash_Matrix!P:P,1))</f>
        <v/>
      </c>
      <c r="K14" s="57" t="str">
        <f>IF(COUNTIF(Overwash_Matrix!$C:$C,1994)=0,"",COUNTIFS(Overwash_Matrix!$C:$C,1994,Overwash_Matrix!Q:Q,1))</f>
        <v/>
      </c>
      <c r="L14" s="57" t="str">
        <f>IF(COUNTIF(Overwash_Matrix!$C:$C,1994)=0,"",COUNTIFS(Overwash_Matrix!$C:$C,1994,Overwash_Matrix!R:R,1))</f>
        <v/>
      </c>
      <c r="M14" s="57" t="str">
        <f>IF(COUNTIF(Overwash_Matrix!$C:$C,1994)=0,"",COUNTIFS(Overwash_Matrix!$C:$C,1994,Overwash_Matrix!S:S,1))</f>
        <v/>
      </c>
      <c r="N14" s="57" t="str">
        <f>IF(COUNTIF(Overwash_Matrix!$C:$C,1994)=0,"",COUNTIFS(Overwash_Matrix!$C:$C,1994,Overwash_Matrix!T:T,1))</f>
        <v/>
      </c>
      <c r="O14" s="57" t="str">
        <f>IF(COUNTIF(Overwash_Matrix!$C:$C,1994)=0,"",COUNTIFS(Overwash_Matrix!$C:$C,1994,Overwash_Matrix!U:U,1))</f>
        <v/>
      </c>
      <c r="P14" s="57" t="str">
        <f>IF(COUNTIF(Overwash_Matrix!$C:$C,1994)=0,"",COUNTIFS(Overwash_Matrix!$C:$C,1994,Overwash_Matrix!V:V,1))</f>
        <v/>
      </c>
      <c r="Q14" s="57" t="str">
        <f>IF(COUNTIF(Overwash_Matrix!$C:$C,1994)=0,"",COUNTIFS(Overwash_Matrix!$C:$C,1994,Overwash_Matrix!W:W,1))</f>
        <v/>
      </c>
      <c r="R14" s="57" t="str">
        <f>IF(COUNTIF(Overwash_Matrix!$C:$C,1994)=0,"",COUNTIFS(Overwash_Matrix!$C:$C,1994,Overwash_Matrix!X:X,1))</f>
        <v/>
      </c>
      <c r="S14" s="57" t="str">
        <f>IF(COUNTIF(Overwash_Matrix!$C:$C,1994)=0,"",COUNTIFS(Overwash_Matrix!$C:$C,1994,Overwash_Matrix!Y:Y,1))</f>
        <v/>
      </c>
      <c r="T14" s="57" t="str">
        <f>IF(COUNTIF(Overwash_Matrix!$C:$C,1994)=0,"",COUNTIFS(Overwash_Matrix!$C:$C,1994,Overwash_Matrix!Z:Z,1))</f>
        <v/>
      </c>
      <c r="U14" s="57" t="str">
        <f>IF(COUNTIF(Overwash_Matrix!$C:$C,1994)=0,"",COUNTIFS(Overwash_Matrix!$C:$C,1994,Overwash_Matrix!AA:AA,1))</f>
        <v/>
      </c>
      <c r="V14" s="57" t="str">
        <f>IF(COUNTIF(Overwash_Matrix!$C:$C,1994)=0,"",COUNTIFS(Overwash_Matrix!$C:$C,1994,Overwash_Matrix!AB:AB,1))</f>
        <v/>
      </c>
      <c r="W14" s="57" t="str">
        <f>IF(COUNTIF(Overwash_Matrix!$C:$C,1994)=0,"",COUNTIFS(Overwash_Matrix!$C:$C,1994,Overwash_Matrix!AC:AC,1))</f>
        <v/>
      </c>
      <c r="X14" s="57" t="str">
        <f>IF(COUNTIF(Overwash_Matrix!$C:$C,1994)=0,"",COUNTIFS(Overwash_Matrix!$C:$C,1994,Overwash_Matrix!AD:AD,1))</f>
        <v/>
      </c>
      <c r="Y14" s="57" t="str">
        <f>IF(COUNTIF(Overwash_Matrix!$C:$C,1994)=0,"",COUNTIFS(Overwash_Matrix!$C:$C,1994,Overwash_Matrix!AE:AE,1))</f>
        <v/>
      </c>
      <c r="Z14" s="57" t="str">
        <f>IF(COUNTIF(Overwash_Matrix!$C:$C,1994)=0,"",COUNTIFS(Overwash_Matrix!$C:$C,1994,Overwash_Matrix!AF:AF,1))</f>
        <v/>
      </c>
      <c r="AA14" s="57" t="str">
        <f>IF(COUNTIF(Overwash_Matrix!$C:$C,1994)=0,"",COUNTIFS(Overwash_Matrix!$C:$C,1994,Overwash_Matrix!AG:AG,1))</f>
        <v/>
      </c>
      <c r="AB14" s="57" t="str">
        <f>IF(COUNTIF(Overwash_Matrix!$C:$C,1994)=0,"",COUNTIFS(Overwash_Matrix!$C:$C,1994,Overwash_Matrix!AH:AH,1))</f>
        <v/>
      </c>
      <c r="AC14" s="57" t="str">
        <f>IF(COUNTIF(Overwash_Matrix!$C:$C,1994)=0,"",COUNTIFS(Overwash_Matrix!$C:$C,1994,Overwash_Matrix!AI:AI,1))</f>
        <v/>
      </c>
      <c r="AD14" s="57" t="str">
        <f>IF(COUNTIF(Overwash_Matrix!$C:$C,1994)=0,"",COUNTIFS(Overwash_Matrix!$C:$C,1994,Overwash_Matrix!AJ:AJ,1))</f>
        <v/>
      </c>
      <c r="AE14" s="57" t="str">
        <f>IF(COUNTIF(Overwash_Matrix!$C:$C,1994)=0,"",COUNTIFS(Overwash_Matrix!$C:$C,1994,Overwash_Matrix!AK:AK,1))</f>
        <v/>
      </c>
      <c r="AF14" s="57" t="str">
        <f>IF(COUNTIF(Overwash_Matrix!$C:$C,1994)=0,"",COUNTIFS(Overwash_Matrix!$C:$C,1994,Overwash_Matrix!AL:AL,1))</f>
        <v/>
      </c>
      <c r="AG14" s="57" t="str">
        <f>IF(COUNTIF(Overwash_Matrix!$C:$C,1994)=0,"",COUNTIFS(Overwash_Matrix!$C:$C,1994,Overwash_Matrix!AM:AM,1))</f>
        <v/>
      </c>
      <c r="AH14" s="57" t="str">
        <f>IF(COUNTIF(Overwash_Matrix!$C:$C,1994)=0,"",COUNTIFS(Overwash_Matrix!$C:$C,1994,Overwash_Matrix!AN:AN,1))</f>
        <v/>
      </c>
      <c r="AI14" s="57" t="str">
        <f>IF(COUNTIF(Overwash_Matrix!$C:$C,1994)=0,"",COUNTIFS(Overwash_Matrix!$C:$C,1994,Overwash_Matrix!AO:AO,1))</f>
        <v/>
      </c>
      <c r="AJ14" s="57" t="str">
        <f>IF(COUNTIF(Overwash_Matrix!$C:$C,1994)=0,"",COUNTIFS(Overwash_Matrix!$C:$C,1994,Overwash_Matrix!AP:AP,1))</f>
        <v/>
      </c>
      <c r="AK14" s="57" t="str">
        <f>IF(COUNTIF(Overwash_Matrix!$C:$C,1994)=0,"",COUNTIFS(Overwash_Matrix!$C:$C,1994,Overwash_Matrix!AQ:AQ,1))</f>
        <v/>
      </c>
      <c r="AL14" s="57" t="str">
        <f>IF(COUNTIF(Overwash_Matrix!$C:$C,1994)=0,"",COUNTIFS(Overwash_Matrix!$C:$C,1994,Overwash_Matrix!AR:AR,1))</f>
        <v/>
      </c>
      <c r="AM14" s="57" t="str">
        <f>IF(COUNTIF(Overwash_Matrix!$C:$C,1994)=0,"",COUNTIFS(Overwash_Matrix!$C:$C,1994,Overwash_Matrix!AS:AS,1))</f>
        <v/>
      </c>
      <c r="AN14" s="57" t="str">
        <f>IF(COUNTIF(Overwash_Matrix!$C:$C,1994)=0,"",COUNTIFS(Overwash_Matrix!$C:$C,1994,Overwash_Matrix!AT:AT,1))</f>
        <v/>
      </c>
      <c r="AO14" s="57" t="str">
        <f>IF(COUNTIF(Overwash_Matrix!$C:$C,1994)=0,"",COUNTIFS(Overwash_Matrix!$C:$C,1994,Overwash_Matrix!AU:AU,1))</f>
        <v/>
      </c>
      <c r="AP14" s="57" t="str">
        <f>IF(COUNTIF(Overwash_Matrix!$C:$C,1994)=0,"",COUNTIFS(Overwash_Matrix!$C:$C,1994,Overwash_Matrix!AV:AV,1))</f>
        <v/>
      </c>
      <c r="AQ14" s="57" t="str">
        <f>IF(COUNTIF(Overwash_Matrix!$C:$C,1994)=0,"",COUNTIFS(Overwash_Matrix!$C:$C,1994,Overwash_Matrix!AW:AW,1))</f>
        <v/>
      </c>
      <c r="AR14" s="57" t="str">
        <f>IF(COUNTIF(Overwash_Matrix!$C:$C,1994)=0,"",COUNTIFS(Overwash_Matrix!$C:$C,1994,Overwash_Matrix!AX:AX,1))</f>
        <v/>
      </c>
      <c r="AS14" s="57" t="str">
        <f>IF(COUNTIF(Overwash_Matrix!$C:$C,1994)=0,"",COUNTIFS(Overwash_Matrix!$C:$C,1994,Overwash_Matrix!AY:AY,1))</f>
        <v/>
      </c>
      <c r="AT14" s="57" t="str">
        <f>IF(COUNTIF(Overwash_Matrix!$C:$C,1994)=0,"",COUNTIFS(Overwash_Matrix!$C:$C,1994,Overwash_Matrix!AZ:AZ,1))</f>
        <v/>
      </c>
      <c r="AU14" s="57" t="str">
        <f>IF(COUNTIF(Overwash_Matrix!$C:$C,1994)=0,"",COUNTIFS(Overwash_Matrix!$C:$C,1994,Overwash_Matrix!BA:BA,1))</f>
        <v/>
      </c>
      <c r="AV14" s="57" t="str">
        <f>IF(COUNTIF(Overwash_Matrix!$C:$C,1994)=0,"",COUNTIFS(Overwash_Matrix!$C:$C,1994,Overwash_Matrix!BB:BB,1))</f>
        <v/>
      </c>
      <c r="AW14" s="57" t="str">
        <f>IF(COUNTIF(Overwash_Matrix!$C:$C,1994)=0,"",COUNTIFS(Overwash_Matrix!$C:$C,1994,Overwash_Matrix!BC:BC,1))</f>
        <v/>
      </c>
      <c r="AX14" s="57" t="str">
        <f>IF(COUNTIF(Overwash_Matrix!$C:$C,1994)=0,"",COUNTIFS(Overwash_Matrix!$C:$C,1994,Overwash_Matrix!BD:BD,1))</f>
        <v/>
      </c>
      <c r="AY14" s="57" t="str">
        <f>IF(COUNTIF(Overwash_Matrix!$C:$C,1994)=0,"",COUNTIFS(Overwash_Matrix!$C:$C,1994,Overwash_Matrix!BE:BE,1))</f>
        <v/>
      </c>
      <c r="AZ14" s="57" t="str">
        <f>IF(COUNTIF(Overwash_Matrix!$C:$C,1994)=0,"",COUNTIFS(Overwash_Matrix!$C:$C,1994,Overwash_Matrix!BF:BF,1))</f>
        <v/>
      </c>
      <c r="BA14" s="57" t="str">
        <f>IF(COUNTIF(Overwash_Matrix!$C:$C,1994)=0,"",COUNTIFS(Overwash_Matrix!$C:$C,1994,Overwash_Matrix!BG:BG,1))</f>
        <v/>
      </c>
      <c r="BB14" s="57" t="str">
        <f>IF(COUNTIF(Overwash_Matrix!$C:$C,1994)=0,"",COUNTIFS(Overwash_Matrix!$C:$C,1994,Overwash_Matrix!BH:BH,1))</f>
        <v/>
      </c>
      <c r="BC14" s="57" t="str">
        <f>IF(COUNTIF(Overwash_Matrix!$C:$C,1994)=0,"",COUNTIFS(Overwash_Matrix!$C:$C,1994,Overwash_Matrix!BI:BI,1))</f>
        <v/>
      </c>
      <c r="BD14" s="57" t="str">
        <f>IF(COUNTIF(Overwash_Matrix!$C:$C,1994)=0,"",COUNTIFS(Overwash_Matrix!$C:$C,1994,Overwash_Matrix!BJ:BJ,1))</f>
        <v/>
      </c>
      <c r="BE14" s="57" t="str">
        <f>IF(COUNTIF(Overwash_Matrix!$C:$C,1994)=0,"",COUNTIFS(Overwash_Matrix!$C:$C,1994,Overwash_Matrix!BK:BK,1))</f>
        <v/>
      </c>
      <c r="BF14" s="57" t="str">
        <f>IF(COUNTIF(Overwash_Matrix!$C:$C,1994)=0,"",COUNTIFS(Overwash_Matrix!$C:$C,1994,Overwash_Matrix!BL:BL,1))</f>
        <v/>
      </c>
      <c r="BG14" s="57" t="str">
        <f>IF(COUNTIF(Overwash_Matrix!$C:$C,1994)=0,"",COUNTIFS(Overwash_Matrix!$C:$C,1994,Overwash_Matrix!BM:BM,1))</f>
        <v/>
      </c>
      <c r="BH14" s="57" t="str">
        <f>IF(COUNTIF(Overwash_Matrix!$C:$C,1994)=0,"",COUNTIFS(Overwash_Matrix!$C:$C,1994,Overwash_Matrix!BN:BN,1))</f>
        <v/>
      </c>
      <c r="BI14" s="57" t="str">
        <f>IF(COUNTIF(Overwash_Matrix!$C:$C,1994)=0,"",COUNTIFS(Overwash_Matrix!$C:$C,1994,Overwash_Matrix!BO:BO,1))</f>
        <v/>
      </c>
      <c r="BJ14" s="57" t="str">
        <f>IF(COUNTIF(Overwash_Matrix!$C:$C,1994)=0,"",COUNTIFS(Overwash_Matrix!$C:$C,1994,Overwash_Matrix!BP:BP,1))</f>
        <v/>
      </c>
      <c r="BK14" s="57" t="str">
        <f>IF(COUNTIF(Overwash_Matrix!$C:$C,1994)=0,"",COUNTIFS(Overwash_Matrix!$C:$C,1994,Overwash_Matrix!BQ:BQ,1))</f>
        <v/>
      </c>
      <c r="BL14" s="57" t="str">
        <f>IF(COUNTIF(Overwash_Matrix!$C:$C,1994)=0,"",COUNTIFS(Overwash_Matrix!$C:$C,1994,Overwash_Matrix!BR:BR,1))</f>
        <v/>
      </c>
      <c r="BM14" s="57" t="str">
        <f>IF(COUNTIF(Overwash_Matrix!$C:$C,1994)=0,"",COUNTIFS(Overwash_Matrix!$C:$C,1994,Overwash_Matrix!BS:BS,1))</f>
        <v/>
      </c>
      <c r="BN14" s="57" t="str">
        <f>IF(COUNTIF(Overwash_Matrix!$C:$C,1994)=0,"",COUNTIFS(Overwash_Matrix!$C:$C,1994,Overwash_Matrix!BT:BT,1))</f>
        <v/>
      </c>
      <c r="BO14" s="57" t="str">
        <f>IF(COUNTIF(Overwash_Matrix!$C:$C,1994)=0,"",COUNTIFS(Overwash_Matrix!$C:$C,1994,Overwash_Matrix!BU:BU,1))</f>
        <v/>
      </c>
      <c r="BP14" s="57" t="str">
        <f>IF(COUNTIF(Overwash_Matrix!$C:$C,1994)=0,"",COUNTIFS(Overwash_Matrix!$C:$C,1994,Overwash_Matrix!BV:BV,1))</f>
        <v/>
      </c>
      <c r="BQ14" s="57" t="str">
        <f>IF(COUNTIF(Overwash_Matrix!$C:$C,1994)=0,"",COUNTIFS(Overwash_Matrix!$C:$C,1994,Overwash_Matrix!BW:BW,1))</f>
        <v/>
      </c>
      <c r="BR14" s="57" t="str">
        <f>IF(COUNTIF(Overwash_Matrix!$C:$C,1994)=0,"",COUNTIFS(Overwash_Matrix!$C:$C,1994,Overwash_Matrix!BX:BX,1))</f>
        <v/>
      </c>
      <c r="BS14" s="57" t="str">
        <f>IF(COUNTIF(Overwash_Matrix!$C:$C,1994)=0,"",COUNTIFS(Overwash_Matrix!$C:$C,1994,Overwash_Matrix!BY:BY,1))</f>
        <v/>
      </c>
      <c r="BT14" s="57" t="str">
        <f>IF(COUNTIF(Overwash_Matrix!$C:$C,1994)=0,"",COUNTIFS(Overwash_Matrix!$C:$C,1994,Overwash_Matrix!BZ:BZ,1))</f>
        <v/>
      </c>
      <c r="BU14" s="57" t="str">
        <f>IF(COUNTIF(Overwash_Matrix!$C:$C,1994)=0,"",COUNTIFS(Overwash_Matrix!$C:$C,1994,Overwash_Matrix!CA:CA,1))</f>
        <v/>
      </c>
      <c r="BV14" s="57" t="str">
        <f>IF(COUNTIF(Overwash_Matrix!$C:$C,1994)=0,"",COUNTIFS(Overwash_Matrix!$C:$C,1994,Overwash_Matrix!CB:CB,1))</f>
        <v/>
      </c>
      <c r="BW14" s="57" t="str">
        <f>IF(COUNTIF(Overwash_Matrix!$C:$C,1994)=0,"",COUNTIFS(Overwash_Matrix!$C:$C,1994,Overwash_Matrix!CC:CC,1))</f>
        <v/>
      </c>
      <c r="BX14" s="57" t="str">
        <f>IF(COUNTIF(Overwash_Matrix!$C:$C,1994)=0,"",COUNTIFS(Overwash_Matrix!$C:$C,1994,Overwash_Matrix!CD:CD,1))</f>
        <v/>
      </c>
      <c r="BY14" s="57" t="str">
        <f>IF(COUNTIF(Overwash_Matrix!$C:$C,1994)=0,"",COUNTIFS(Overwash_Matrix!$C:$C,1994,Overwash_Matrix!CE:CE,1))</f>
        <v/>
      </c>
      <c r="BZ14" s="57" t="str">
        <f>IF(COUNTIF(Overwash_Matrix!$C:$C,1994)=0,"",COUNTIFS(Overwash_Matrix!$C:$C,1994,Overwash_Matrix!CF:CF,1))</f>
        <v/>
      </c>
      <c r="CA14" s="57" t="str">
        <f>IF(COUNTIF(Overwash_Matrix!$C:$C,1994)=0,"",COUNTIFS(Overwash_Matrix!$C:$C,1994,Overwash_Matrix!CG:CG,1))</f>
        <v/>
      </c>
      <c r="CB14" s="57" t="str">
        <f>IF(COUNTIF(Overwash_Matrix!$C:$C,1994)=0,"",COUNTIFS(Overwash_Matrix!$C:$C,1994,Overwash_Matrix!CH:CH,1))</f>
        <v/>
      </c>
      <c r="CC14" s="57" t="str">
        <f>IF(COUNTIF(Overwash_Matrix!$C:$C,1994)=0,"",COUNTIFS(Overwash_Matrix!$C:$C,1994,Overwash_Matrix!CI:CI,1))</f>
        <v/>
      </c>
      <c r="CD14" s="57" t="str">
        <f>IF(COUNTIF(Overwash_Matrix!$C:$C,1994)=0,"",COUNTIFS(Overwash_Matrix!$C:$C,1994,Overwash_Matrix!CJ:CJ,1))</f>
        <v/>
      </c>
      <c r="CE14" s="57" t="str">
        <f>IF(COUNTIF(Overwash_Matrix!$C:$C,1994)=0,"",COUNTIFS(Overwash_Matrix!$C:$C,1994,Overwash_Matrix!CK:CK,1))</f>
        <v/>
      </c>
      <c r="CF14" s="57" t="str">
        <f>IF(COUNTIF(Overwash_Matrix!$C:$C,1994)=0,"",COUNTIFS(Overwash_Matrix!$C:$C,1994,Overwash_Matrix!CL:CL,1))</f>
        <v/>
      </c>
      <c r="CG14" s="57" t="str">
        <f>IF(COUNTIF(Overwash_Matrix!$C:$C,1994)=0,"",COUNTIFS(Overwash_Matrix!$C:$C,1994,Overwash_Matrix!CM:CM,1))</f>
        <v/>
      </c>
      <c r="CH14" s="57" t="str">
        <f>IF(COUNTIF(Overwash_Matrix!$C:$C,1994)=0,"",COUNTIFS(Overwash_Matrix!$C:$C,1994,Overwash_Matrix!CN:CN,1))</f>
        <v/>
      </c>
      <c r="CI14" s="57" t="str">
        <f>IF(COUNTIF(Overwash_Matrix!$C:$C,1994)=0,"",COUNTIFS(Overwash_Matrix!$C:$C,1994,Overwash_Matrix!CO:CO,1))</f>
        <v/>
      </c>
      <c r="CJ14" s="57" t="str">
        <f>IF(COUNTIF(Overwash_Matrix!$C:$C,1994)=0,"",COUNTIFS(Overwash_Matrix!$C:$C,1994,Overwash_Matrix!CP:CP,1))</f>
        <v/>
      </c>
      <c r="CK14" s="57" t="str">
        <f>IF(COUNTIF(Overwash_Matrix!$C:$C,1994)=0,"",COUNTIFS(Overwash_Matrix!$C:$C,1994,Overwash_Matrix!CQ:CQ,1))</f>
        <v/>
      </c>
      <c r="CL14" s="57" t="str">
        <f>IF(COUNTIF(Overwash_Matrix!$C:$C,1994)=0,"",COUNTIFS(Overwash_Matrix!$C:$C,1994,Overwash_Matrix!CR:CR,1))</f>
        <v/>
      </c>
      <c r="CM14" s="57" t="str">
        <f>IF(COUNTIF(Overwash_Matrix!$C:$C,1994)=0,"",COUNTIFS(Overwash_Matrix!$C:$C,1994,Overwash_Matrix!CS:CS,1))</f>
        <v/>
      </c>
      <c r="CN14" s="57" t="str">
        <f>IF(COUNTIF(Overwash_Matrix!$C:$C,1994)=0,"",COUNTIFS(Overwash_Matrix!$C:$C,1994,Overwash_Matrix!CT:CT,1))</f>
        <v/>
      </c>
    </row>
    <row r="15" ht="13.5" customHeight="1">
      <c r="A15" s="88">
        <v>1995.0</v>
      </c>
      <c r="B15" s="89">
        <f>COUNTIF(Overwash_Matrix!$C:$C,1995)</f>
        <v>1</v>
      </c>
      <c r="C15" s="53">
        <f>IF(COUNTIF(Overwash_Matrix!$C:$C,1995)=0,"",COUNTIFS(Overwash_Matrix!$C:$C,1995,Overwash_Matrix!I:I,1))</f>
        <v>0</v>
      </c>
      <c r="D15" s="53">
        <f>IF(COUNTIF(Overwash_Matrix!$C:$C,1995)=0,"",COUNTIFS(Overwash_Matrix!$C:$C,1995,Overwash_Matrix!J:J,1))</f>
        <v>0</v>
      </c>
      <c r="E15" s="53">
        <f>IF(COUNTIF(Overwash_Matrix!$C:$C,1995)=0,"",COUNTIFS(Overwash_Matrix!$C:$C,1995,Overwash_Matrix!K:K,1))</f>
        <v>0</v>
      </c>
      <c r="F15" s="53">
        <f>IF(COUNTIF(Overwash_Matrix!$C:$C,1995)=0,"",COUNTIFS(Overwash_Matrix!$C:$C,1995,Overwash_Matrix!L:L,1))</f>
        <v>0</v>
      </c>
      <c r="G15" s="53">
        <f>IF(COUNTIF(Overwash_Matrix!$C:$C,1995)=0,"",COUNTIFS(Overwash_Matrix!$C:$C,1995,Overwash_Matrix!M:M,1))</f>
        <v>0</v>
      </c>
      <c r="H15" s="53">
        <f>IF(COUNTIF(Overwash_Matrix!$C:$C,1995)=0,"",COUNTIFS(Overwash_Matrix!$C:$C,1995,Overwash_Matrix!N:N,1))</f>
        <v>0</v>
      </c>
      <c r="I15" s="53">
        <f>IF(COUNTIF(Overwash_Matrix!$C:$C,1995)=0,"",COUNTIFS(Overwash_Matrix!$C:$C,1995,Overwash_Matrix!O:O,1))</f>
        <v>0</v>
      </c>
      <c r="J15" s="53">
        <f>IF(COUNTIF(Overwash_Matrix!$C:$C,1995)=0,"",COUNTIFS(Overwash_Matrix!$C:$C,1995,Overwash_Matrix!P:P,1))</f>
        <v>0</v>
      </c>
      <c r="K15" s="53">
        <f>IF(COUNTIF(Overwash_Matrix!$C:$C,1995)=0,"",COUNTIFS(Overwash_Matrix!$C:$C,1995,Overwash_Matrix!Q:Q,1))</f>
        <v>0</v>
      </c>
      <c r="L15" s="53">
        <f>IF(COUNTIF(Overwash_Matrix!$C:$C,1995)=0,"",COUNTIFS(Overwash_Matrix!$C:$C,1995,Overwash_Matrix!R:R,1))</f>
        <v>0</v>
      </c>
      <c r="M15" s="53">
        <f>IF(COUNTIF(Overwash_Matrix!$C:$C,1995)=0,"",COUNTIFS(Overwash_Matrix!$C:$C,1995,Overwash_Matrix!S:S,1))</f>
        <v>0</v>
      </c>
      <c r="N15" s="53">
        <f>IF(COUNTIF(Overwash_Matrix!$C:$C,1995)=0,"",COUNTIFS(Overwash_Matrix!$C:$C,1995,Overwash_Matrix!T:T,1))</f>
        <v>0</v>
      </c>
      <c r="O15" s="53">
        <f>IF(COUNTIF(Overwash_Matrix!$C:$C,1995)=0,"",COUNTIFS(Overwash_Matrix!$C:$C,1995,Overwash_Matrix!U:U,1))</f>
        <v>0</v>
      </c>
      <c r="P15" s="53">
        <f>IF(COUNTIF(Overwash_Matrix!$C:$C,1995)=0,"",COUNTIFS(Overwash_Matrix!$C:$C,1995,Overwash_Matrix!V:V,1))</f>
        <v>0</v>
      </c>
      <c r="Q15" s="53">
        <f>IF(COUNTIF(Overwash_Matrix!$C:$C,1995)=0,"",COUNTIFS(Overwash_Matrix!$C:$C,1995,Overwash_Matrix!W:W,1))</f>
        <v>0</v>
      </c>
      <c r="R15" s="53">
        <f>IF(COUNTIF(Overwash_Matrix!$C:$C,1995)=0,"",COUNTIFS(Overwash_Matrix!$C:$C,1995,Overwash_Matrix!X:X,1))</f>
        <v>0</v>
      </c>
      <c r="S15" s="53">
        <f>IF(COUNTIF(Overwash_Matrix!$C:$C,1995)=0,"",COUNTIFS(Overwash_Matrix!$C:$C,1995,Overwash_Matrix!Y:Y,1))</f>
        <v>0</v>
      </c>
      <c r="T15" s="53">
        <f>IF(COUNTIF(Overwash_Matrix!$C:$C,1995)=0,"",COUNTIFS(Overwash_Matrix!$C:$C,1995,Overwash_Matrix!Z:Z,1))</f>
        <v>0</v>
      </c>
      <c r="U15" s="53">
        <f>IF(COUNTIF(Overwash_Matrix!$C:$C,1995)=0,"",COUNTIFS(Overwash_Matrix!$C:$C,1995,Overwash_Matrix!AA:AA,1))</f>
        <v>0</v>
      </c>
      <c r="V15" s="53">
        <f>IF(COUNTIF(Overwash_Matrix!$C:$C,1995)=0,"",COUNTIFS(Overwash_Matrix!$C:$C,1995,Overwash_Matrix!AB:AB,1))</f>
        <v>0</v>
      </c>
      <c r="W15" s="53">
        <f>IF(COUNTIF(Overwash_Matrix!$C:$C,1995)=0,"",COUNTIFS(Overwash_Matrix!$C:$C,1995,Overwash_Matrix!AC:AC,1))</f>
        <v>0</v>
      </c>
      <c r="X15" s="53">
        <f>IF(COUNTIF(Overwash_Matrix!$C:$C,1995)=0,"",COUNTIFS(Overwash_Matrix!$C:$C,1995,Overwash_Matrix!AD:AD,1))</f>
        <v>0</v>
      </c>
      <c r="Y15" s="53">
        <f>IF(COUNTIF(Overwash_Matrix!$C:$C,1995)=0,"",COUNTIFS(Overwash_Matrix!$C:$C,1995,Overwash_Matrix!AE:AE,1))</f>
        <v>0</v>
      </c>
      <c r="Z15" s="53">
        <f>IF(COUNTIF(Overwash_Matrix!$C:$C,1995)=0,"",COUNTIFS(Overwash_Matrix!$C:$C,1995,Overwash_Matrix!AF:AF,1))</f>
        <v>0</v>
      </c>
      <c r="AA15" s="53">
        <f>IF(COUNTIF(Overwash_Matrix!$C:$C,1995)=0,"",COUNTIFS(Overwash_Matrix!$C:$C,1995,Overwash_Matrix!AG:AG,1))</f>
        <v>0</v>
      </c>
      <c r="AB15" s="53">
        <f>IF(COUNTIF(Overwash_Matrix!$C:$C,1995)=0,"",COUNTIFS(Overwash_Matrix!$C:$C,1995,Overwash_Matrix!AH:AH,1))</f>
        <v>0</v>
      </c>
      <c r="AC15" s="53">
        <f>IF(COUNTIF(Overwash_Matrix!$C:$C,1995)=0,"",COUNTIFS(Overwash_Matrix!$C:$C,1995,Overwash_Matrix!AI:AI,1))</f>
        <v>0</v>
      </c>
      <c r="AD15" s="53">
        <f>IF(COUNTIF(Overwash_Matrix!$C:$C,1995)=0,"",COUNTIFS(Overwash_Matrix!$C:$C,1995,Overwash_Matrix!AJ:AJ,1))</f>
        <v>0</v>
      </c>
      <c r="AE15" s="53">
        <f>IF(COUNTIF(Overwash_Matrix!$C:$C,1995)=0,"",COUNTIFS(Overwash_Matrix!$C:$C,1995,Overwash_Matrix!AK:AK,1))</f>
        <v>0</v>
      </c>
      <c r="AF15" s="53">
        <f>IF(COUNTIF(Overwash_Matrix!$C:$C,1995)=0,"",COUNTIFS(Overwash_Matrix!$C:$C,1995,Overwash_Matrix!AL:AL,1))</f>
        <v>0</v>
      </c>
      <c r="AG15" s="53">
        <f>IF(COUNTIF(Overwash_Matrix!$C:$C,1995)=0,"",COUNTIFS(Overwash_Matrix!$C:$C,1995,Overwash_Matrix!AM:AM,1))</f>
        <v>0</v>
      </c>
      <c r="AH15" s="53">
        <f>IF(COUNTIF(Overwash_Matrix!$C:$C,1995)=0,"",COUNTIFS(Overwash_Matrix!$C:$C,1995,Overwash_Matrix!AN:AN,1))</f>
        <v>0</v>
      </c>
      <c r="AI15" s="53">
        <f>IF(COUNTIF(Overwash_Matrix!$C:$C,1995)=0,"",COUNTIFS(Overwash_Matrix!$C:$C,1995,Overwash_Matrix!AO:AO,1))</f>
        <v>0</v>
      </c>
      <c r="AJ15" s="53">
        <f>IF(COUNTIF(Overwash_Matrix!$C:$C,1995)=0,"",COUNTIFS(Overwash_Matrix!$C:$C,1995,Overwash_Matrix!AP:AP,1))</f>
        <v>0</v>
      </c>
      <c r="AK15" s="53">
        <f>IF(COUNTIF(Overwash_Matrix!$C:$C,1995)=0,"",COUNTIFS(Overwash_Matrix!$C:$C,1995,Overwash_Matrix!AQ:AQ,1))</f>
        <v>0</v>
      </c>
      <c r="AL15" s="53">
        <f>IF(COUNTIF(Overwash_Matrix!$C:$C,1995)=0,"",COUNTIFS(Overwash_Matrix!$C:$C,1995,Overwash_Matrix!AR:AR,1))</f>
        <v>0</v>
      </c>
      <c r="AM15" s="53">
        <f>IF(COUNTIF(Overwash_Matrix!$C:$C,1995)=0,"",COUNTIFS(Overwash_Matrix!$C:$C,1995,Overwash_Matrix!AS:AS,1))</f>
        <v>0</v>
      </c>
      <c r="AN15" s="53">
        <f>IF(COUNTIF(Overwash_Matrix!$C:$C,1995)=0,"",COUNTIFS(Overwash_Matrix!$C:$C,1995,Overwash_Matrix!AT:AT,1))</f>
        <v>0</v>
      </c>
      <c r="AO15" s="53">
        <f>IF(COUNTIF(Overwash_Matrix!$C:$C,1995)=0,"",COUNTIFS(Overwash_Matrix!$C:$C,1995,Overwash_Matrix!AU:AU,1))</f>
        <v>0</v>
      </c>
      <c r="AP15" s="53">
        <f>IF(COUNTIF(Overwash_Matrix!$C:$C,1995)=0,"",COUNTIFS(Overwash_Matrix!$C:$C,1995,Overwash_Matrix!AV:AV,1))</f>
        <v>0</v>
      </c>
      <c r="AQ15" s="53">
        <f>IF(COUNTIF(Overwash_Matrix!$C:$C,1995)=0,"",COUNTIFS(Overwash_Matrix!$C:$C,1995,Overwash_Matrix!AW:AW,1))</f>
        <v>0</v>
      </c>
      <c r="AR15" s="53">
        <f>IF(COUNTIF(Overwash_Matrix!$C:$C,1995)=0,"",COUNTIFS(Overwash_Matrix!$C:$C,1995,Overwash_Matrix!AX:AX,1))</f>
        <v>0</v>
      </c>
      <c r="AS15" s="53">
        <f>IF(COUNTIF(Overwash_Matrix!$C:$C,1995)=0,"",COUNTIFS(Overwash_Matrix!$C:$C,1995,Overwash_Matrix!AY:AY,1))</f>
        <v>0</v>
      </c>
      <c r="AT15" s="53">
        <f>IF(COUNTIF(Overwash_Matrix!$C:$C,1995)=0,"",COUNTIFS(Overwash_Matrix!$C:$C,1995,Overwash_Matrix!AZ:AZ,1))</f>
        <v>0</v>
      </c>
      <c r="AU15" s="53">
        <f>IF(COUNTIF(Overwash_Matrix!$C:$C,1995)=0,"",COUNTIFS(Overwash_Matrix!$C:$C,1995,Overwash_Matrix!BA:BA,1))</f>
        <v>0</v>
      </c>
      <c r="AV15" s="53">
        <f>IF(COUNTIF(Overwash_Matrix!$C:$C,1995)=0,"",COUNTIFS(Overwash_Matrix!$C:$C,1995,Overwash_Matrix!BB:BB,1))</f>
        <v>0</v>
      </c>
      <c r="AW15" s="53">
        <f>IF(COUNTIF(Overwash_Matrix!$C:$C,1995)=0,"",COUNTIFS(Overwash_Matrix!$C:$C,1995,Overwash_Matrix!BC:BC,1))</f>
        <v>0</v>
      </c>
      <c r="AX15" s="53">
        <f>IF(COUNTIF(Overwash_Matrix!$C:$C,1995)=0,"",COUNTIFS(Overwash_Matrix!$C:$C,1995,Overwash_Matrix!BD:BD,1))</f>
        <v>1</v>
      </c>
      <c r="AY15" s="53">
        <f>IF(COUNTIF(Overwash_Matrix!$C:$C,1995)=0,"",COUNTIFS(Overwash_Matrix!$C:$C,1995,Overwash_Matrix!BE:BE,1))</f>
        <v>1</v>
      </c>
      <c r="AZ15" s="53">
        <f>IF(COUNTIF(Overwash_Matrix!$C:$C,1995)=0,"",COUNTIFS(Overwash_Matrix!$C:$C,1995,Overwash_Matrix!BF:BF,1))</f>
        <v>1</v>
      </c>
      <c r="BA15" s="53">
        <f>IF(COUNTIF(Overwash_Matrix!$C:$C,1995)=0,"",COUNTIFS(Overwash_Matrix!$C:$C,1995,Overwash_Matrix!BG:BG,1))</f>
        <v>1</v>
      </c>
      <c r="BB15" s="53">
        <f>IF(COUNTIF(Overwash_Matrix!$C:$C,1995)=0,"",COUNTIFS(Overwash_Matrix!$C:$C,1995,Overwash_Matrix!BH:BH,1))</f>
        <v>0</v>
      </c>
      <c r="BC15" s="53">
        <f>IF(COUNTIF(Overwash_Matrix!$C:$C,1995)=0,"",COUNTIFS(Overwash_Matrix!$C:$C,1995,Overwash_Matrix!BI:BI,1))</f>
        <v>1</v>
      </c>
      <c r="BD15" s="53">
        <f>IF(COUNTIF(Overwash_Matrix!$C:$C,1995)=0,"",COUNTIFS(Overwash_Matrix!$C:$C,1995,Overwash_Matrix!BJ:BJ,1))</f>
        <v>1</v>
      </c>
      <c r="BE15" s="53">
        <f>IF(COUNTIF(Overwash_Matrix!$C:$C,1995)=0,"",COUNTIFS(Overwash_Matrix!$C:$C,1995,Overwash_Matrix!BK:BK,1))</f>
        <v>0</v>
      </c>
      <c r="BF15" s="53">
        <f>IF(COUNTIF(Overwash_Matrix!$C:$C,1995)=0,"",COUNTIFS(Overwash_Matrix!$C:$C,1995,Overwash_Matrix!BL:BL,1))</f>
        <v>1</v>
      </c>
      <c r="BG15" s="53">
        <f>IF(COUNTIF(Overwash_Matrix!$C:$C,1995)=0,"",COUNTIFS(Overwash_Matrix!$C:$C,1995,Overwash_Matrix!BM:BM,1))</f>
        <v>1</v>
      </c>
      <c r="BH15" s="53">
        <f>IF(COUNTIF(Overwash_Matrix!$C:$C,1995)=0,"",COUNTIFS(Overwash_Matrix!$C:$C,1995,Overwash_Matrix!BN:BN,1))</f>
        <v>0</v>
      </c>
      <c r="BI15" s="53">
        <f>IF(COUNTIF(Overwash_Matrix!$C:$C,1995)=0,"",COUNTIFS(Overwash_Matrix!$C:$C,1995,Overwash_Matrix!BO:BO,1))</f>
        <v>0</v>
      </c>
      <c r="BJ15" s="53">
        <f>IF(COUNTIF(Overwash_Matrix!$C:$C,1995)=0,"",COUNTIFS(Overwash_Matrix!$C:$C,1995,Overwash_Matrix!BP:BP,1))</f>
        <v>0</v>
      </c>
      <c r="BK15" s="53">
        <f>IF(COUNTIF(Overwash_Matrix!$C:$C,1995)=0,"",COUNTIFS(Overwash_Matrix!$C:$C,1995,Overwash_Matrix!BQ:BQ,1))</f>
        <v>0</v>
      </c>
      <c r="BL15" s="53">
        <f>IF(COUNTIF(Overwash_Matrix!$C:$C,1995)=0,"",COUNTIFS(Overwash_Matrix!$C:$C,1995,Overwash_Matrix!BR:BR,1))</f>
        <v>0</v>
      </c>
      <c r="BM15" s="53">
        <f>IF(COUNTIF(Overwash_Matrix!$C:$C,1995)=0,"",COUNTIFS(Overwash_Matrix!$C:$C,1995,Overwash_Matrix!BS:BS,1))</f>
        <v>0</v>
      </c>
      <c r="BN15" s="53">
        <f>IF(COUNTIF(Overwash_Matrix!$C:$C,1995)=0,"",COUNTIFS(Overwash_Matrix!$C:$C,1995,Overwash_Matrix!BT:BT,1))</f>
        <v>0</v>
      </c>
      <c r="BO15" s="53">
        <f>IF(COUNTIF(Overwash_Matrix!$C:$C,1995)=0,"",COUNTIFS(Overwash_Matrix!$C:$C,1995,Overwash_Matrix!BU:BU,1))</f>
        <v>0</v>
      </c>
      <c r="BP15" s="53">
        <f>IF(COUNTIF(Overwash_Matrix!$C:$C,1995)=0,"",COUNTIFS(Overwash_Matrix!$C:$C,1995,Overwash_Matrix!BV:BV,1))</f>
        <v>0</v>
      </c>
      <c r="BQ15" s="53">
        <f>IF(COUNTIF(Overwash_Matrix!$C:$C,1995)=0,"",COUNTIFS(Overwash_Matrix!$C:$C,1995,Overwash_Matrix!BW:BW,1))</f>
        <v>0</v>
      </c>
      <c r="BR15" s="53">
        <f>IF(COUNTIF(Overwash_Matrix!$C:$C,1995)=0,"",COUNTIFS(Overwash_Matrix!$C:$C,1995,Overwash_Matrix!BX:BX,1))</f>
        <v>0</v>
      </c>
      <c r="BS15" s="53">
        <f>IF(COUNTIF(Overwash_Matrix!$C:$C,1995)=0,"",COUNTIFS(Overwash_Matrix!$C:$C,1995,Overwash_Matrix!BY:BY,1))</f>
        <v>0</v>
      </c>
      <c r="BT15" s="53">
        <f>IF(COUNTIF(Overwash_Matrix!$C:$C,1995)=0,"",COUNTIFS(Overwash_Matrix!$C:$C,1995,Overwash_Matrix!BZ:BZ,1))</f>
        <v>0</v>
      </c>
      <c r="BU15" s="53">
        <f>IF(COUNTIF(Overwash_Matrix!$C:$C,1995)=0,"",COUNTIFS(Overwash_Matrix!$C:$C,1995,Overwash_Matrix!CA:CA,1))</f>
        <v>0</v>
      </c>
      <c r="BV15" s="53">
        <f>IF(COUNTIF(Overwash_Matrix!$C:$C,1995)=0,"",COUNTIFS(Overwash_Matrix!$C:$C,1995,Overwash_Matrix!CB:CB,1))</f>
        <v>0</v>
      </c>
      <c r="BW15" s="53">
        <f>IF(COUNTIF(Overwash_Matrix!$C:$C,1995)=0,"",COUNTIFS(Overwash_Matrix!$C:$C,1995,Overwash_Matrix!CC:CC,1))</f>
        <v>0</v>
      </c>
      <c r="BX15" s="53">
        <f>IF(COUNTIF(Overwash_Matrix!$C:$C,1995)=0,"",COUNTIFS(Overwash_Matrix!$C:$C,1995,Overwash_Matrix!CD:CD,1))</f>
        <v>0</v>
      </c>
      <c r="BY15" s="53">
        <f>IF(COUNTIF(Overwash_Matrix!$C:$C,1995)=0,"",COUNTIFS(Overwash_Matrix!$C:$C,1995,Overwash_Matrix!CE:CE,1))</f>
        <v>0</v>
      </c>
      <c r="BZ15" s="53">
        <f>IF(COUNTIF(Overwash_Matrix!$C:$C,1995)=0,"",COUNTIFS(Overwash_Matrix!$C:$C,1995,Overwash_Matrix!CF:CF,1))</f>
        <v>0</v>
      </c>
      <c r="CA15" s="53">
        <f>IF(COUNTIF(Overwash_Matrix!$C:$C,1995)=0,"",COUNTIFS(Overwash_Matrix!$C:$C,1995,Overwash_Matrix!CG:CG,1))</f>
        <v>0</v>
      </c>
      <c r="CB15" s="53">
        <f>IF(COUNTIF(Overwash_Matrix!$C:$C,1995)=0,"",COUNTIFS(Overwash_Matrix!$C:$C,1995,Overwash_Matrix!CH:CH,1))</f>
        <v>0</v>
      </c>
      <c r="CC15" s="53">
        <f>IF(COUNTIF(Overwash_Matrix!$C:$C,1995)=0,"",COUNTIFS(Overwash_Matrix!$C:$C,1995,Overwash_Matrix!CI:CI,1))</f>
        <v>0</v>
      </c>
      <c r="CD15" s="53">
        <f>IF(COUNTIF(Overwash_Matrix!$C:$C,1995)=0,"",COUNTIFS(Overwash_Matrix!$C:$C,1995,Overwash_Matrix!CJ:CJ,1))</f>
        <v>0</v>
      </c>
      <c r="CE15" s="53">
        <f>IF(COUNTIF(Overwash_Matrix!$C:$C,1995)=0,"",COUNTIFS(Overwash_Matrix!$C:$C,1995,Overwash_Matrix!CK:CK,1))</f>
        <v>0</v>
      </c>
      <c r="CF15" s="53">
        <f>IF(COUNTIF(Overwash_Matrix!$C:$C,1995)=0,"",COUNTIFS(Overwash_Matrix!$C:$C,1995,Overwash_Matrix!CL:CL,1))</f>
        <v>1</v>
      </c>
      <c r="CG15" s="53">
        <f>IF(COUNTIF(Overwash_Matrix!$C:$C,1995)=0,"",COUNTIFS(Overwash_Matrix!$C:$C,1995,Overwash_Matrix!CM:CM,1))</f>
        <v>1</v>
      </c>
      <c r="CH15" s="53">
        <f>IF(COUNTIF(Overwash_Matrix!$C:$C,1995)=0,"",COUNTIFS(Overwash_Matrix!$C:$C,1995,Overwash_Matrix!CN:CN,1))</f>
        <v>0</v>
      </c>
      <c r="CI15" s="53">
        <f>IF(COUNTIF(Overwash_Matrix!$C:$C,1995)=0,"",COUNTIFS(Overwash_Matrix!$C:$C,1995,Overwash_Matrix!CO:CO,1))</f>
        <v>0</v>
      </c>
      <c r="CJ15" s="53">
        <f>IF(COUNTIF(Overwash_Matrix!$C:$C,1995)=0,"",COUNTIFS(Overwash_Matrix!$C:$C,1995,Overwash_Matrix!CP:CP,1))</f>
        <v>1</v>
      </c>
      <c r="CK15" s="53">
        <f>IF(COUNTIF(Overwash_Matrix!$C:$C,1995)=0,"",COUNTIFS(Overwash_Matrix!$C:$C,1995,Overwash_Matrix!CQ:CQ,1))</f>
        <v>0</v>
      </c>
      <c r="CL15" s="53">
        <f>IF(COUNTIF(Overwash_Matrix!$C:$C,1995)=0,"",COUNTIFS(Overwash_Matrix!$C:$C,1995,Overwash_Matrix!CR:CR,1))</f>
        <v>0</v>
      </c>
      <c r="CM15" s="53">
        <f>IF(COUNTIF(Overwash_Matrix!$C:$C,1995)=0,"",COUNTIFS(Overwash_Matrix!$C:$C,1995,Overwash_Matrix!CS:CS,1))</f>
        <v>0</v>
      </c>
      <c r="CN15" s="53">
        <f>IF(COUNTIF(Overwash_Matrix!$C:$C,1995)=0,"",COUNTIFS(Overwash_Matrix!$C:$C,1995,Overwash_Matrix!CT:CT,1))</f>
        <v>0</v>
      </c>
    </row>
    <row r="16" ht="13.5" customHeight="1">
      <c r="A16" s="86">
        <v>1996.0</v>
      </c>
      <c r="B16" s="87">
        <f>COUNTIF(Overwash_Matrix!$C:$C,1996)</f>
        <v>1</v>
      </c>
      <c r="C16" s="57">
        <f>IF(COUNTIF(Overwash_Matrix!$C:$C,1996)=0,"",COUNTIFS(Overwash_Matrix!$C:$C,1996,Overwash_Matrix!I:I,1))</f>
        <v>0</v>
      </c>
      <c r="D16" s="57">
        <f>IF(COUNTIF(Overwash_Matrix!$C:$C,1996)=0,"",COUNTIFS(Overwash_Matrix!$C:$C,1996,Overwash_Matrix!J:J,1))</f>
        <v>0</v>
      </c>
      <c r="E16" s="57">
        <f>IF(COUNTIF(Overwash_Matrix!$C:$C,1996)=0,"",COUNTIFS(Overwash_Matrix!$C:$C,1996,Overwash_Matrix!K:K,1))</f>
        <v>1</v>
      </c>
      <c r="F16" s="57">
        <f>IF(COUNTIF(Overwash_Matrix!$C:$C,1996)=0,"",COUNTIFS(Overwash_Matrix!$C:$C,1996,Overwash_Matrix!L:L,1))</f>
        <v>0</v>
      </c>
      <c r="G16" s="57">
        <f>IF(COUNTIF(Overwash_Matrix!$C:$C,1996)=0,"",COUNTIFS(Overwash_Matrix!$C:$C,1996,Overwash_Matrix!M:M,1))</f>
        <v>0</v>
      </c>
      <c r="H16" s="57">
        <f>IF(COUNTIF(Overwash_Matrix!$C:$C,1996)=0,"",COUNTIFS(Overwash_Matrix!$C:$C,1996,Overwash_Matrix!N:N,1))</f>
        <v>0</v>
      </c>
      <c r="I16" s="57">
        <f>IF(COUNTIF(Overwash_Matrix!$C:$C,1996)=0,"",COUNTIFS(Overwash_Matrix!$C:$C,1996,Overwash_Matrix!O:O,1))</f>
        <v>0</v>
      </c>
      <c r="J16" s="57">
        <f>IF(COUNTIF(Overwash_Matrix!$C:$C,1996)=0,"",COUNTIFS(Overwash_Matrix!$C:$C,1996,Overwash_Matrix!P:P,1))</f>
        <v>0</v>
      </c>
      <c r="K16" s="57">
        <f>IF(COUNTIF(Overwash_Matrix!$C:$C,1996)=0,"",COUNTIFS(Overwash_Matrix!$C:$C,1996,Overwash_Matrix!Q:Q,1))</f>
        <v>0</v>
      </c>
      <c r="L16" s="57">
        <f>IF(COUNTIF(Overwash_Matrix!$C:$C,1996)=0,"",COUNTIFS(Overwash_Matrix!$C:$C,1996,Overwash_Matrix!R:R,1))</f>
        <v>0</v>
      </c>
      <c r="M16" s="57">
        <f>IF(COUNTIF(Overwash_Matrix!$C:$C,1996)=0,"",COUNTIFS(Overwash_Matrix!$C:$C,1996,Overwash_Matrix!S:S,1))</f>
        <v>0</v>
      </c>
      <c r="N16" s="57">
        <f>IF(COUNTIF(Overwash_Matrix!$C:$C,1996)=0,"",COUNTIFS(Overwash_Matrix!$C:$C,1996,Overwash_Matrix!T:T,1))</f>
        <v>0</v>
      </c>
      <c r="O16" s="57">
        <f>IF(COUNTIF(Overwash_Matrix!$C:$C,1996)=0,"",COUNTIFS(Overwash_Matrix!$C:$C,1996,Overwash_Matrix!U:U,1))</f>
        <v>0</v>
      </c>
      <c r="P16" s="57">
        <f>IF(COUNTIF(Overwash_Matrix!$C:$C,1996)=0,"",COUNTIFS(Overwash_Matrix!$C:$C,1996,Overwash_Matrix!V:V,1))</f>
        <v>0</v>
      </c>
      <c r="Q16" s="57">
        <f>IF(COUNTIF(Overwash_Matrix!$C:$C,1996)=0,"",COUNTIFS(Overwash_Matrix!$C:$C,1996,Overwash_Matrix!W:W,1))</f>
        <v>0</v>
      </c>
      <c r="R16" s="57">
        <f>IF(COUNTIF(Overwash_Matrix!$C:$C,1996)=0,"",COUNTIFS(Overwash_Matrix!$C:$C,1996,Overwash_Matrix!X:X,1))</f>
        <v>0</v>
      </c>
      <c r="S16" s="57">
        <f>IF(COUNTIF(Overwash_Matrix!$C:$C,1996)=0,"",COUNTIFS(Overwash_Matrix!$C:$C,1996,Overwash_Matrix!Y:Y,1))</f>
        <v>0</v>
      </c>
      <c r="T16" s="57">
        <f>IF(COUNTIF(Overwash_Matrix!$C:$C,1996)=0,"",COUNTIFS(Overwash_Matrix!$C:$C,1996,Overwash_Matrix!Z:Z,1))</f>
        <v>0</v>
      </c>
      <c r="U16" s="57">
        <f>IF(COUNTIF(Overwash_Matrix!$C:$C,1996)=0,"",COUNTIFS(Overwash_Matrix!$C:$C,1996,Overwash_Matrix!AA:AA,1))</f>
        <v>0</v>
      </c>
      <c r="V16" s="57">
        <f>IF(COUNTIF(Overwash_Matrix!$C:$C,1996)=0,"",COUNTIFS(Overwash_Matrix!$C:$C,1996,Overwash_Matrix!AB:AB,1))</f>
        <v>0</v>
      </c>
      <c r="W16" s="57">
        <f>IF(COUNTIF(Overwash_Matrix!$C:$C,1996)=0,"",COUNTIFS(Overwash_Matrix!$C:$C,1996,Overwash_Matrix!AC:AC,1))</f>
        <v>0</v>
      </c>
      <c r="X16" s="57">
        <f>IF(COUNTIF(Overwash_Matrix!$C:$C,1996)=0,"",COUNTIFS(Overwash_Matrix!$C:$C,1996,Overwash_Matrix!AD:AD,1))</f>
        <v>0</v>
      </c>
      <c r="Y16" s="57">
        <f>IF(COUNTIF(Overwash_Matrix!$C:$C,1996)=0,"",COUNTIFS(Overwash_Matrix!$C:$C,1996,Overwash_Matrix!AE:AE,1))</f>
        <v>0</v>
      </c>
      <c r="Z16" s="57">
        <f>IF(COUNTIF(Overwash_Matrix!$C:$C,1996)=0,"",COUNTIFS(Overwash_Matrix!$C:$C,1996,Overwash_Matrix!AF:AF,1))</f>
        <v>0</v>
      </c>
      <c r="AA16" s="57">
        <f>IF(COUNTIF(Overwash_Matrix!$C:$C,1996)=0,"",COUNTIFS(Overwash_Matrix!$C:$C,1996,Overwash_Matrix!AG:AG,1))</f>
        <v>0</v>
      </c>
      <c r="AB16" s="57">
        <f>IF(COUNTIF(Overwash_Matrix!$C:$C,1996)=0,"",COUNTIFS(Overwash_Matrix!$C:$C,1996,Overwash_Matrix!AH:AH,1))</f>
        <v>0</v>
      </c>
      <c r="AC16" s="57">
        <f>IF(COUNTIF(Overwash_Matrix!$C:$C,1996)=0,"",COUNTIFS(Overwash_Matrix!$C:$C,1996,Overwash_Matrix!AI:AI,1))</f>
        <v>0</v>
      </c>
      <c r="AD16" s="57">
        <f>IF(COUNTIF(Overwash_Matrix!$C:$C,1996)=0,"",COUNTIFS(Overwash_Matrix!$C:$C,1996,Overwash_Matrix!AJ:AJ,1))</f>
        <v>0</v>
      </c>
      <c r="AE16" s="57">
        <f>IF(COUNTIF(Overwash_Matrix!$C:$C,1996)=0,"",COUNTIFS(Overwash_Matrix!$C:$C,1996,Overwash_Matrix!AK:AK,1))</f>
        <v>0</v>
      </c>
      <c r="AF16" s="57">
        <f>IF(COUNTIF(Overwash_Matrix!$C:$C,1996)=0,"",COUNTIFS(Overwash_Matrix!$C:$C,1996,Overwash_Matrix!AL:AL,1))</f>
        <v>0</v>
      </c>
      <c r="AG16" s="57">
        <f>IF(COUNTIF(Overwash_Matrix!$C:$C,1996)=0,"",COUNTIFS(Overwash_Matrix!$C:$C,1996,Overwash_Matrix!AM:AM,1))</f>
        <v>0</v>
      </c>
      <c r="AH16" s="57">
        <f>IF(COUNTIF(Overwash_Matrix!$C:$C,1996)=0,"",COUNTIFS(Overwash_Matrix!$C:$C,1996,Overwash_Matrix!AN:AN,1))</f>
        <v>0</v>
      </c>
      <c r="AI16" s="57">
        <f>IF(COUNTIF(Overwash_Matrix!$C:$C,1996)=0,"",COUNTIFS(Overwash_Matrix!$C:$C,1996,Overwash_Matrix!AO:AO,1))</f>
        <v>0</v>
      </c>
      <c r="AJ16" s="57">
        <f>IF(COUNTIF(Overwash_Matrix!$C:$C,1996)=0,"",COUNTIFS(Overwash_Matrix!$C:$C,1996,Overwash_Matrix!AP:AP,1))</f>
        <v>0</v>
      </c>
      <c r="AK16" s="57">
        <f>IF(COUNTIF(Overwash_Matrix!$C:$C,1996)=0,"",COUNTIFS(Overwash_Matrix!$C:$C,1996,Overwash_Matrix!AQ:AQ,1))</f>
        <v>0</v>
      </c>
      <c r="AL16" s="57">
        <f>IF(COUNTIF(Overwash_Matrix!$C:$C,1996)=0,"",COUNTIFS(Overwash_Matrix!$C:$C,1996,Overwash_Matrix!AR:AR,1))</f>
        <v>0</v>
      </c>
      <c r="AM16" s="57">
        <f>IF(COUNTIF(Overwash_Matrix!$C:$C,1996)=0,"",COUNTIFS(Overwash_Matrix!$C:$C,1996,Overwash_Matrix!AS:AS,1))</f>
        <v>0</v>
      </c>
      <c r="AN16" s="57">
        <f>IF(COUNTIF(Overwash_Matrix!$C:$C,1996)=0,"",COUNTIFS(Overwash_Matrix!$C:$C,1996,Overwash_Matrix!AT:AT,1))</f>
        <v>0</v>
      </c>
      <c r="AO16" s="57">
        <f>IF(COUNTIF(Overwash_Matrix!$C:$C,1996)=0,"",COUNTIFS(Overwash_Matrix!$C:$C,1996,Overwash_Matrix!AU:AU,1))</f>
        <v>0</v>
      </c>
      <c r="AP16" s="57">
        <f>IF(COUNTIF(Overwash_Matrix!$C:$C,1996)=0,"",COUNTIFS(Overwash_Matrix!$C:$C,1996,Overwash_Matrix!AV:AV,1))</f>
        <v>0</v>
      </c>
      <c r="AQ16" s="57">
        <f>IF(COUNTIF(Overwash_Matrix!$C:$C,1996)=0,"",COUNTIFS(Overwash_Matrix!$C:$C,1996,Overwash_Matrix!AW:AW,1))</f>
        <v>0</v>
      </c>
      <c r="AR16" s="57">
        <f>IF(COUNTIF(Overwash_Matrix!$C:$C,1996)=0,"",COUNTIFS(Overwash_Matrix!$C:$C,1996,Overwash_Matrix!AX:AX,1))</f>
        <v>0</v>
      </c>
      <c r="AS16" s="57">
        <f>IF(COUNTIF(Overwash_Matrix!$C:$C,1996)=0,"",COUNTIFS(Overwash_Matrix!$C:$C,1996,Overwash_Matrix!AY:AY,1))</f>
        <v>0</v>
      </c>
      <c r="AT16" s="57">
        <f>IF(COUNTIF(Overwash_Matrix!$C:$C,1996)=0,"",COUNTIFS(Overwash_Matrix!$C:$C,1996,Overwash_Matrix!AZ:AZ,1))</f>
        <v>0</v>
      </c>
      <c r="AU16" s="57">
        <f>IF(COUNTIF(Overwash_Matrix!$C:$C,1996)=0,"",COUNTIFS(Overwash_Matrix!$C:$C,1996,Overwash_Matrix!BA:BA,1))</f>
        <v>0</v>
      </c>
      <c r="AV16" s="57">
        <f>IF(COUNTIF(Overwash_Matrix!$C:$C,1996)=0,"",COUNTIFS(Overwash_Matrix!$C:$C,1996,Overwash_Matrix!BB:BB,1))</f>
        <v>0</v>
      </c>
      <c r="AW16" s="57">
        <f>IF(COUNTIF(Overwash_Matrix!$C:$C,1996)=0,"",COUNTIFS(Overwash_Matrix!$C:$C,1996,Overwash_Matrix!BC:BC,1))</f>
        <v>0</v>
      </c>
      <c r="AX16" s="57">
        <f>IF(COUNTIF(Overwash_Matrix!$C:$C,1996)=0,"",COUNTIFS(Overwash_Matrix!$C:$C,1996,Overwash_Matrix!BD:BD,1))</f>
        <v>0</v>
      </c>
      <c r="AY16" s="57">
        <f>IF(COUNTIF(Overwash_Matrix!$C:$C,1996)=0,"",COUNTIFS(Overwash_Matrix!$C:$C,1996,Overwash_Matrix!BE:BE,1))</f>
        <v>0</v>
      </c>
      <c r="AZ16" s="57">
        <f>IF(COUNTIF(Overwash_Matrix!$C:$C,1996)=0,"",COUNTIFS(Overwash_Matrix!$C:$C,1996,Overwash_Matrix!BF:BF,1))</f>
        <v>0</v>
      </c>
      <c r="BA16" s="57">
        <f>IF(COUNTIF(Overwash_Matrix!$C:$C,1996)=0,"",COUNTIFS(Overwash_Matrix!$C:$C,1996,Overwash_Matrix!BG:BG,1))</f>
        <v>0</v>
      </c>
      <c r="BB16" s="57">
        <f>IF(COUNTIF(Overwash_Matrix!$C:$C,1996)=0,"",COUNTIFS(Overwash_Matrix!$C:$C,1996,Overwash_Matrix!BH:BH,1))</f>
        <v>0</v>
      </c>
      <c r="BC16" s="57">
        <f>IF(COUNTIF(Overwash_Matrix!$C:$C,1996)=0,"",COUNTIFS(Overwash_Matrix!$C:$C,1996,Overwash_Matrix!BI:BI,1))</f>
        <v>0</v>
      </c>
      <c r="BD16" s="57">
        <f>IF(COUNTIF(Overwash_Matrix!$C:$C,1996)=0,"",COUNTIFS(Overwash_Matrix!$C:$C,1996,Overwash_Matrix!BJ:BJ,1))</f>
        <v>0</v>
      </c>
      <c r="BE16" s="57">
        <f>IF(COUNTIF(Overwash_Matrix!$C:$C,1996)=0,"",COUNTIFS(Overwash_Matrix!$C:$C,1996,Overwash_Matrix!BK:BK,1))</f>
        <v>0</v>
      </c>
      <c r="BF16" s="57">
        <f>IF(COUNTIF(Overwash_Matrix!$C:$C,1996)=0,"",COUNTIFS(Overwash_Matrix!$C:$C,1996,Overwash_Matrix!BL:BL,1))</f>
        <v>0</v>
      </c>
      <c r="BG16" s="57">
        <f>IF(COUNTIF(Overwash_Matrix!$C:$C,1996)=0,"",COUNTIFS(Overwash_Matrix!$C:$C,1996,Overwash_Matrix!BM:BM,1))</f>
        <v>0</v>
      </c>
      <c r="BH16" s="57">
        <f>IF(COUNTIF(Overwash_Matrix!$C:$C,1996)=0,"",COUNTIFS(Overwash_Matrix!$C:$C,1996,Overwash_Matrix!BN:BN,1))</f>
        <v>0</v>
      </c>
      <c r="BI16" s="57">
        <f>IF(COUNTIF(Overwash_Matrix!$C:$C,1996)=0,"",COUNTIFS(Overwash_Matrix!$C:$C,1996,Overwash_Matrix!BO:BO,1))</f>
        <v>0</v>
      </c>
      <c r="BJ16" s="57">
        <f>IF(COUNTIF(Overwash_Matrix!$C:$C,1996)=0,"",COUNTIFS(Overwash_Matrix!$C:$C,1996,Overwash_Matrix!BP:BP,1))</f>
        <v>0</v>
      </c>
      <c r="BK16" s="57">
        <f>IF(COUNTIF(Overwash_Matrix!$C:$C,1996)=0,"",COUNTIFS(Overwash_Matrix!$C:$C,1996,Overwash_Matrix!BQ:BQ,1))</f>
        <v>0</v>
      </c>
      <c r="BL16" s="57">
        <f>IF(COUNTIF(Overwash_Matrix!$C:$C,1996)=0,"",COUNTIFS(Overwash_Matrix!$C:$C,1996,Overwash_Matrix!BR:BR,1))</f>
        <v>0</v>
      </c>
      <c r="BM16" s="57">
        <f>IF(COUNTIF(Overwash_Matrix!$C:$C,1996)=0,"",COUNTIFS(Overwash_Matrix!$C:$C,1996,Overwash_Matrix!BS:BS,1))</f>
        <v>0</v>
      </c>
      <c r="BN16" s="57">
        <f>IF(COUNTIF(Overwash_Matrix!$C:$C,1996)=0,"",COUNTIFS(Overwash_Matrix!$C:$C,1996,Overwash_Matrix!BT:BT,1))</f>
        <v>0</v>
      </c>
      <c r="BO16" s="57">
        <f>IF(COUNTIF(Overwash_Matrix!$C:$C,1996)=0,"",COUNTIFS(Overwash_Matrix!$C:$C,1996,Overwash_Matrix!BU:BU,1))</f>
        <v>0</v>
      </c>
      <c r="BP16" s="57">
        <f>IF(COUNTIF(Overwash_Matrix!$C:$C,1996)=0,"",COUNTIFS(Overwash_Matrix!$C:$C,1996,Overwash_Matrix!BV:BV,1))</f>
        <v>0</v>
      </c>
      <c r="BQ16" s="57">
        <f>IF(COUNTIF(Overwash_Matrix!$C:$C,1996)=0,"",COUNTIFS(Overwash_Matrix!$C:$C,1996,Overwash_Matrix!BW:BW,1))</f>
        <v>0</v>
      </c>
      <c r="BR16" s="57">
        <f>IF(COUNTIF(Overwash_Matrix!$C:$C,1996)=0,"",COUNTIFS(Overwash_Matrix!$C:$C,1996,Overwash_Matrix!BX:BX,1))</f>
        <v>0</v>
      </c>
      <c r="BS16" s="57">
        <f>IF(COUNTIF(Overwash_Matrix!$C:$C,1996)=0,"",COUNTIFS(Overwash_Matrix!$C:$C,1996,Overwash_Matrix!BY:BY,1))</f>
        <v>0</v>
      </c>
      <c r="BT16" s="57">
        <f>IF(COUNTIF(Overwash_Matrix!$C:$C,1996)=0,"",COUNTIFS(Overwash_Matrix!$C:$C,1996,Overwash_Matrix!BZ:BZ,1))</f>
        <v>0</v>
      </c>
      <c r="BU16" s="57">
        <f>IF(COUNTIF(Overwash_Matrix!$C:$C,1996)=0,"",COUNTIFS(Overwash_Matrix!$C:$C,1996,Overwash_Matrix!CA:CA,1))</f>
        <v>0</v>
      </c>
      <c r="BV16" s="57">
        <f>IF(COUNTIF(Overwash_Matrix!$C:$C,1996)=0,"",COUNTIFS(Overwash_Matrix!$C:$C,1996,Overwash_Matrix!CB:CB,1))</f>
        <v>0</v>
      </c>
      <c r="BW16" s="57">
        <f>IF(COUNTIF(Overwash_Matrix!$C:$C,1996)=0,"",COUNTIFS(Overwash_Matrix!$C:$C,1996,Overwash_Matrix!CC:CC,1))</f>
        <v>0</v>
      </c>
      <c r="BX16" s="57">
        <f>IF(COUNTIF(Overwash_Matrix!$C:$C,1996)=0,"",COUNTIFS(Overwash_Matrix!$C:$C,1996,Overwash_Matrix!CD:CD,1))</f>
        <v>0</v>
      </c>
      <c r="BY16" s="57">
        <f>IF(COUNTIF(Overwash_Matrix!$C:$C,1996)=0,"",COUNTIFS(Overwash_Matrix!$C:$C,1996,Overwash_Matrix!CE:CE,1))</f>
        <v>0</v>
      </c>
      <c r="BZ16" s="57">
        <f>IF(COUNTIF(Overwash_Matrix!$C:$C,1996)=0,"",COUNTIFS(Overwash_Matrix!$C:$C,1996,Overwash_Matrix!CF:CF,1))</f>
        <v>0</v>
      </c>
      <c r="CA16" s="57">
        <f>IF(COUNTIF(Overwash_Matrix!$C:$C,1996)=0,"",COUNTIFS(Overwash_Matrix!$C:$C,1996,Overwash_Matrix!CG:CG,1))</f>
        <v>0</v>
      </c>
      <c r="CB16" s="57">
        <f>IF(COUNTIF(Overwash_Matrix!$C:$C,1996)=0,"",COUNTIFS(Overwash_Matrix!$C:$C,1996,Overwash_Matrix!CH:CH,1))</f>
        <v>0</v>
      </c>
      <c r="CC16" s="57">
        <f>IF(COUNTIF(Overwash_Matrix!$C:$C,1996)=0,"",COUNTIFS(Overwash_Matrix!$C:$C,1996,Overwash_Matrix!CI:CI,1))</f>
        <v>0</v>
      </c>
      <c r="CD16" s="57">
        <f>IF(COUNTIF(Overwash_Matrix!$C:$C,1996)=0,"",COUNTIFS(Overwash_Matrix!$C:$C,1996,Overwash_Matrix!CJ:CJ,1))</f>
        <v>0</v>
      </c>
      <c r="CE16" s="57">
        <f>IF(COUNTIF(Overwash_Matrix!$C:$C,1996)=0,"",COUNTIFS(Overwash_Matrix!$C:$C,1996,Overwash_Matrix!CK:CK,1))</f>
        <v>0</v>
      </c>
      <c r="CF16" s="57">
        <f>IF(COUNTIF(Overwash_Matrix!$C:$C,1996)=0,"",COUNTIFS(Overwash_Matrix!$C:$C,1996,Overwash_Matrix!CL:CL,1))</f>
        <v>0</v>
      </c>
      <c r="CG16" s="57">
        <f>IF(COUNTIF(Overwash_Matrix!$C:$C,1996)=0,"",COUNTIFS(Overwash_Matrix!$C:$C,1996,Overwash_Matrix!CM:CM,1))</f>
        <v>0</v>
      </c>
      <c r="CH16" s="57">
        <f>IF(COUNTIF(Overwash_Matrix!$C:$C,1996)=0,"",COUNTIFS(Overwash_Matrix!$C:$C,1996,Overwash_Matrix!CN:CN,1))</f>
        <v>0</v>
      </c>
      <c r="CI16" s="57">
        <f>IF(COUNTIF(Overwash_Matrix!$C:$C,1996)=0,"",COUNTIFS(Overwash_Matrix!$C:$C,1996,Overwash_Matrix!CO:CO,1))</f>
        <v>0</v>
      </c>
      <c r="CJ16" s="57">
        <f>IF(COUNTIF(Overwash_Matrix!$C:$C,1996)=0,"",COUNTIFS(Overwash_Matrix!$C:$C,1996,Overwash_Matrix!CP:CP,1))</f>
        <v>0</v>
      </c>
      <c r="CK16" s="57">
        <f>IF(COUNTIF(Overwash_Matrix!$C:$C,1996)=0,"",COUNTIFS(Overwash_Matrix!$C:$C,1996,Overwash_Matrix!CQ:CQ,1))</f>
        <v>0</v>
      </c>
      <c r="CL16" s="57">
        <f>IF(COUNTIF(Overwash_Matrix!$C:$C,1996)=0,"",COUNTIFS(Overwash_Matrix!$C:$C,1996,Overwash_Matrix!CR:CR,1))</f>
        <v>0</v>
      </c>
      <c r="CM16" s="57">
        <f>IF(COUNTIF(Overwash_Matrix!$C:$C,1996)=0,"",COUNTIFS(Overwash_Matrix!$C:$C,1996,Overwash_Matrix!CS:CS,1))</f>
        <v>0</v>
      </c>
      <c r="CN16" s="57">
        <f>IF(COUNTIF(Overwash_Matrix!$C:$C,1996)=0,"",COUNTIFS(Overwash_Matrix!$C:$C,1996,Overwash_Matrix!CT:CT,1))</f>
        <v>0</v>
      </c>
    </row>
    <row r="17" ht="13.5" customHeight="1">
      <c r="A17" s="88">
        <v>1997.0</v>
      </c>
      <c r="B17" s="89">
        <f>COUNTIF(Overwash_Matrix!$C:$C,1997)</f>
        <v>1</v>
      </c>
      <c r="C17" s="53">
        <f>IF(COUNTIF(Overwash_Matrix!$C:$C,1997)=0,"",COUNTIFS(Overwash_Matrix!$C:$C,1997,Overwash_Matrix!I:I,1))</f>
        <v>0</v>
      </c>
      <c r="D17" s="53">
        <f>IF(COUNTIF(Overwash_Matrix!$C:$C,1997)=0,"",COUNTIFS(Overwash_Matrix!$C:$C,1997,Overwash_Matrix!J:J,1))</f>
        <v>0</v>
      </c>
      <c r="E17" s="53">
        <f>IF(COUNTIF(Overwash_Matrix!$C:$C,1997)=0,"",COUNTIFS(Overwash_Matrix!$C:$C,1997,Overwash_Matrix!K:K,1))</f>
        <v>1</v>
      </c>
      <c r="F17" s="53">
        <f>IF(COUNTIF(Overwash_Matrix!$C:$C,1997)=0,"",COUNTIFS(Overwash_Matrix!$C:$C,1997,Overwash_Matrix!L:L,1))</f>
        <v>1</v>
      </c>
      <c r="G17" s="53">
        <f>IF(COUNTIF(Overwash_Matrix!$C:$C,1997)=0,"",COUNTIFS(Overwash_Matrix!$C:$C,1997,Overwash_Matrix!M:M,1))</f>
        <v>0</v>
      </c>
      <c r="H17" s="53">
        <f>IF(COUNTIF(Overwash_Matrix!$C:$C,1997)=0,"",COUNTIFS(Overwash_Matrix!$C:$C,1997,Overwash_Matrix!N:N,1))</f>
        <v>0</v>
      </c>
      <c r="I17" s="53">
        <f>IF(COUNTIF(Overwash_Matrix!$C:$C,1997)=0,"",COUNTIFS(Overwash_Matrix!$C:$C,1997,Overwash_Matrix!O:O,1))</f>
        <v>0</v>
      </c>
      <c r="J17" s="53">
        <f>IF(COUNTIF(Overwash_Matrix!$C:$C,1997)=0,"",COUNTIFS(Overwash_Matrix!$C:$C,1997,Overwash_Matrix!P:P,1))</f>
        <v>0</v>
      </c>
      <c r="K17" s="53">
        <f>IF(COUNTIF(Overwash_Matrix!$C:$C,1997)=0,"",COUNTIFS(Overwash_Matrix!$C:$C,1997,Overwash_Matrix!Q:Q,1))</f>
        <v>0</v>
      </c>
      <c r="L17" s="53">
        <f>IF(COUNTIF(Overwash_Matrix!$C:$C,1997)=0,"",COUNTIFS(Overwash_Matrix!$C:$C,1997,Overwash_Matrix!R:R,1))</f>
        <v>0</v>
      </c>
      <c r="M17" s="53">
        <f>IF(COUNTIF(Overwash_Matrix!$C:$C,1997)=0,"",COUNTIFS(Overwash_Matrix!$C:$C,1997,Overwash_Matrix!S:S,1))</f>
        <v>0</v>
      </c>
      <c r="N17" s="53">
        <f>IF(COUNTIF(Overwash_Matrix!$C:$C,1997)=0,"",COUNTIFS(Overwash_Matrix!$C:$C,1997,Overwash_Matrix!T:T,1))</f>
        <v>0</v>
      </c>
      <c r="O17" s="53">
        <f>IF(COUNTIF(Overwash_Matrix!$C:$C,1997)=0,"",COUNTIFS(Overwash_Matrix!$C:$C,1997,Overwash_Matrix!U:U,1))</f>
        <v>0</v>
      </c>
      <c r="P17" s="53">
        <f>IF(COUNTIF(Overwash_Matrix!$C:$C,1997)=0,"",COUNTIFS(Overwash_Matrix!$C:$C,1997,Overwash_Matrix!V:V,1))</f>
        <v>0</v>
      </c>
      <c r="Q17" s="53">
        <f>IF(COUNTIF(Overwash_Matrix!$C:$C,1997)=0,"",COUNTIFS(Overwash_Matrix!$C:$C,1997,Overwash_Matrix!W:W,1))</f>
        <v>0</v>
      </c>
      <c r="R17" s="53">
        <f>IF(COUNTIF(Overwash_Matrix!$C:$C,1997)=0,"",COUNTIFS(Overwash_Matrix!$C:$C,1997,Overwash_Matrix!X:X,1))</f>
        <v>0</v>
      </c>
      <c r="S17" s="53">
        <f>IF(COUNTIF(Overwash_Matrix!$C:$C,1997)=0,"",COUNTIFS(Overwash_Matrix!$C:$C,1997,Overwash_Matrix!Y:Y,1))</f>
        <v>0</v>
      </c>
      <c r="T17" s="53">
        <f>IF(COUNTIF(Overwash_Matrix!$C:$C,1997)=0,"",COUNTIFS(Overwash_Matrix!$C:$C,1997,Overwash_Matrix!Z:Z,1))</f>
        <v>0</v>
      </c>
      <c r="U17" s="53">
        <f>IF(COUNTIF(Overwash_Matrix!$C:$C,1997)=0,"",COUNTIFS(Overwash_Matrix!$C:$C,1997,Overwash_Matrix!AA:AA,1))</f>
        <v>0</v>
      </c>
      <c r="V17" s="53">
        <f>IF(COUNTIF(Overwash_Matrix!$C:$C,1997)=0,"",COUNTIFS(Overwash_Matrix!$C:$C,1997,Overwash_Matrix!AB:AB,1))</f>
        <v>0</v>
      </c>
      <c r="W17" s="53">
        <f>IF(COUNTIF(Overwash_Matrix!$C:$C,1997)=0,"",COUNTIFS(Overwash_Matrix!$C:$C,1997,Overwash_Matrix!AC:AC,1))</f>
        <v>0</v>
      </c>
      <c r="X17" s="53">
        <f>IF(COUNTIF(Overwash_Matrix!$C:$C,1997)=0,"",COUNTIFS(Overwash_Matrix!$C:$C,1997,Overwash_Matrix!AD:AD,1))</f>
        <v>0</v>
      </c>
      <c r="Y17" s="53">
        <f>IF(COUNTIF(Overwash_Matrix!$C:$C,1997)=0,"",COUNTIFS(Overwash_Matrix!$C:$C,1997,Overwash_Matrix!AE:AE,1))</f>
        <v>0</v>
      </c>
      <c r="Z17" s="53">
        <f>IF(COUNTIF(Overwash_Matrix!$C:$C,1997)=0,"",COUNTIFS(Overwash_Matrix!$C:$C,1997,Overwash_Matrix!AF:AF,1))</f>
        <v>0</v>
      </c>
      <c r="AA17" s="53">
        <f>IF(COUNTIF(Overwash_Matrix!$C:$C,1997)=0,"",COUNTIFS(Overwash_Matrix!$C:$C,1997,Overwash_Matrix!AG:AG,1))</f>
        <v>0</v>
      </c>
      <c r="AB17" s="53">
        <f>IF(COUNTIF(Overwash_Matrix!$C:$C,1997)=0,"",COUNTIFS(Overwash_Matrix!$C:$C,1997,Overwash_Matrix!AH:AH,1))</f>
        <v>0</v>
      </c>
      <c r="AC17" s="53">
        <f>IF(COUNTIF(Overwash_Matrix!$C:$C,1997)=0,"",COUNTIFS(Overwash_Matrix!$C:$C,1997,Overwash_Matrix!AI:AI,1))</f>
        <v>0</v>
      </c>
      <c r="AD17" s="53">
        <f>IF(COUNTIF(Overwash_Matrix!$C:$C,1997)=0,"",COUNTIFS(Overwash_Matrix!$C:$C,1997,Overwash_Matrix!AJ:AJ,1))</f>
        <v>0</v>
      </c>
      <c r="AE17" s="53">
        <f>IF(COUNTIF(Overwash_Matrix!$C:$C,1997)=0,"",COUNTIFS(Overwash_Matrix!$C:$C,1997,Overwash_Matrix!AK:AK,1))</f>
        <v>0</v>
      </c>
      <c r="AF17" s="53">
        <f>IF(COUNTIF(Overwash_Matrix!$C:$C,1997)=0,"",COUNTIFS(Overwash_Matrix!$C:$C,1997,Overwash_Matrix!AL:AL,1))</f>
        <v>0</v>
      </c>
      <c r="AG17" s="53">
        <f>IF(COUNTIF(Overwash_Matrix!$C:$C,1997)=0,"",COUNTIFS(Overwash_Matrix!$C:$C,1997,Overwash_Matrix!AM:AM,1))</f>
        <v>0</v>
      </c>
      <c r="AH17" s="53">
        <f>IF(COUNTIF(Overwash_Matrix!$C:$C,1997)=0,"",COUNTIFS(Overwash_Matrix!$C:$C,1997,Overwash_Matrix!AN:AN,1))</f>
        <v>0</v>
      </c>
      <c r="AI17" s="53">
        <f>IF(COUNTIF(Overwash_Matrix!$C:$C,1997)=0,"",COUNTIFS(Overwash_Matrix!$C:$C,1997,Overwash_Matrix!AO:AO,1))</f>
        <v>0</v>
      </c>
      <c r="AJ17" s="53">
        <f>IF(COUNTIF(Overwash_Matrix!$C:$C,1997)=0,"",COUNTIFS(Overwash_Matrix!$C:$C,1997,Overwash_Matrix!AP:AP,1))</f>
        <v>0</v>
      </c>
      <c r="AK17" s="53">
        <f>IF(COUNTIF(Overwash_Matrix!$C:$C,1997)=0,"",COUNTIFS(Overwash_Matrix!$C:$C,1997,Overwash_Matrix!AQ:AQ,1))</f>
        <v>0</v>
      </c>
      <c r="AL17" s="53">
        <f>IF(COUNTIF(Overwash_Matrix!$C:$C,1997)=0,"",COUNTIFS(Overwash_Matrix!$C:$C,1997,Overwash_Matrix!AR:AR,1))</f>
        <v>0</v>
      </c>
      <c r="AM17" s="53">
        <f>IF(COUNTIF(Overwash_Matrix!$C:$C,1997)=0,"",COUNTIFS(Overwash_Matrix!$C:$C,1997,Overwash_Matrix!AS:AS,1))</f>
        <v>0</v>
      </c>
      <c r="AN17" s="53">
        <f>IF(COUNTIF(Overwash_Matrix!$C:$C,1997)=0,"",COUNTIFS(Overwash_Matrix!$C:$C,1997,Overwash_Matrix!AT:AT,1))</f>
        <v>0</v>
      </c>
      <c r="AO17" s="53">
        <f>IF(COUNTIF(Overwash_Matrix!$C:$C,1997)=0,"",COUNTIFS(Overwash_Matrix!$C:$C,1997,Overwash_Matrix!AU:AU,1))</f>
        <v>0</v>
      </c>
      <c r="AP17" s="53">
        <f>IF(COUNTIF(Overwash_Matrix!$C:$C,1997)=0,"",COUNTIFS(Overwash_Matrix!$C:$C,1997,Overwash_Matrix!AV:AV,1))</f>
        <v>0</v>
      </c>
      <c r="AQ17" s="53">
        <f>IF(COUNTIF(Overwash_Matrix!$C:$C,1997)=0,"",COUNTIFS(Overwash_Matrix!$C:$C,1997,Overwash_Matrix!AW:AW,1))</f>
        <v>0</v>
      </c>
      <c r="AR17" s="53">
        <f>IF(COUNTIF(Overwash_Matrix!$C:$C,1997)=0,"",COUNTIFS(Overwash_Matrix!$C:$C,1997,Overwash_Matrix!AX:AX,1))</f>
        <v>0</v>
      </c>
      <c r="AS17" s="53">
        <f>IF(COUNTIF(Overwash_Matrix!$C:$C,1997)=0,"",COUNTIFS(Overwash_Matrix!$C:$C,1997,Overwash_Matrix!AY:AY,1))</f>
        <v>0</v>
      </c>
      <c r="AT17" s="53">
        <f>IF(COUNTIF(Overwash_Matrix!$C:$C,1997)=0,"",COUNTIFS(Overwash_Matrix!$C:$C,1997,Overwash_Matrix!AZ:AZ,1))</f>
        <v>0</v>
      </c>
      <c r="AU17" s="53">
        <f>IF(COUNTIF(Overwash_Matrix!$C:$C,1997)=0,"",COUNTIFS(Overwash_Matrix!$C:$C,1997,Overwash_Matrix!BA:BA,1))</f>
        <v>0</v>
      </c>
      <c r="AV17" s="53">
        <f>IF(COUNTIF(Overwash_Matrix!$C:$C,1997)=0,"",COUNTIFS(Overwash_Matrix!$C:$C,1997,Overwash_Matrix!BB:BB,1))</f>
        <v>0</v>
      </c>
      <c r="AW17" s="53">
        <f>IF(COUNTIF(Overwash_Matrix!$C:$C,1997)=0,"",COUNTIFS(Overwash_Matrix!$C:$C,1997,Overwash_Matrix!BC:BC,1))</f>
        <v>0</v>
      </c>
      <c r="AX17" s="53">
        <f>IF(COUNTIF(Overwash_Matrix!$C:$C,1997)=0,"",COUNTIFS(Overwash_Matrix!$C:$C,1997,Overwash_Matrix!BD:BD,1))</f>
        <v>0</v>
      </c>
      <c r="AY17" s="53">
        <f>IF(COUNTIF(Overwash_Matrix!$C:$C,1997)=0,"",COUNTIFS(Overwash_Matrix!$C:$C,1997,Overwash_Matrix!BE:BE,1))</f>
        <v>0</v>
      </c>
      <c r="AZ17" s="53">
        <f>IF(COUNTIF(Overwash_Matrix!$C:$C,1997)=0,"",COUNTIFS(Overwash_Matrix!$C:$C,1997,Overwash_Matrix!BF:BF,1))</f>
        <v>0</v>
      </c>
      <c r="BA17" s="53">
        <f>IF(COUNTIF(Overwash_Matrix!$C:$C,1997)=0,"",COUNTIFS(Overwash_Matrix!$C:$C,1997,Overwash_Matrix!BG:BG,1))</f>
        <v>0</v>
      </c>
      <c r="BB17" s="53">
        <f>IF(COUNTIF(Overwash_Matrix!$C:$C,1997)=0,"",COUNTIFS(Overwash_Matrix!$C:$C,1997,Overwash_Matrix!BH:BH,1))</f>
        <v>0</v>
      </c>
      <c r="BC17" s="53">
        <f>IF(COUNTIF(Overwash_Matrix!$C:$C,1997)=0,"",COUNTIFS(Overwash_Matrix!$C:$C,1997,Overwash_Matrix!BI:BI,1))</f>
        <v>0</v>
      </c>
      <c r="BD17" s="53">
        <f>IF(COUNTIF(Overwash_Matrix!$C:$C,1997)=0,"",COUNTIFS(Overwash_Matrix!$C:$C,1997,Overwash_Matrix!BJ:BJ,1))</f>
        <v>0</v>
      </c>
      <c r="BE17" s="53">
        <f>IF(COUNTIF(Overwash_Matrix!$C:$C,1997)=0,"",COUNTIFS(Overwash_Matrix!$C:$C,1997,Overwash_Matrix!BK:BK,1))</f>
        <v>0</v>
      </c>
      <c r="BF17" s="53">
        <f>IF(COUNTIF(Overwash_Matrix!$C:$C,1997)=0,"",COUNTIFS(Overwash_Matrix!$C:$C,1997,Overwash_Matrix!BL:BL,1))</f>
        <v>0</v>
      </c>
      <c r="BG17" s="53">
        <f>IF(COUNTIF(Overwash_Matrix!$C:$C,1997)=0,"",COUNTIFS(Overwash_Matrix!$C:$C,1997,Overwash_Matrix!BM:BM,1))</f>
        <v>0</v>
      </c>
      <c r="BH17" s="53">
        <f>IF(COUNTIF(Overwash_Matrix!$C:$C,1997)=0,"",COUNTIFS(Overwash_Matrix!$C:$C,1997,Overwash_Matrix!BN:BN,1))</f>
        <v>0</v>
      </c>
      <c r="BI17" s="53">
        <f>IF(COUNTIF(Overwash_Matrix!$C:$C,1997)=0,"",COUNTIFS(Overwash_Matrix!$C:$C,1997,Overwash_Matrix!BO:BO,1))</f>
        <v>0</v>
      </c>
      <c r="BJ17" s="53">
        <f>IF(COUNTIF(Overwash_Matrix!$C:$C,1997)=0,"",COUNTIFS(Overwash_Matrix!$C:$C,1997,Overwash_Matrix!BP:BP,1))</f>
        <v>0</v>
      </c>
      <c r="BK17" s="53">
        <f>IF(COUNTIF(Overwash_Matrix!$C:$C,1997)=0,"",COUNTIFS(Overwash_Matrix!$C:$C,1997,Overwash_Matrix!BQ:BQ,1))</f>
        <v>0</v>
      </c>
      <c r="BL17" s="53">
        <f>IF(COUNTIF(Overwash_Matrix!$C:$C,1997)=0,"",COUNTIFS(Overwash_Matrix!$C:$C,1997,Overwash_Matrix!BR:BR,1))</f>
        <v>0</v>
      </c>
      <c r="BM17" s="53">
        <f>IF(COUNTIF(Overwash_Matrix!$C:$C,1997)=0,"",COUNTIFS(Overwash_Matrix!$C:$C,1997,Overwash_Matrix!BS:BS,1))</f>
        <v>0</v>
      </c>
      <c r="BN17" s="53">
        <f>IF(COUNTIF(Overwash_Matrix!$C:$C,1997)=0,"",COUNTIFS(Overwash_Matrix!$C:$C,1997,Overwash_Matrix!BT:BT,1))</f>
        <v>0</v>
      </c>
      <c r="BO17" s="53">
        <f>IF(COUNTIF(Overwash_Matrix!$C:$C,1997)=0,"",COUNTIFS(Overwash_Matrix!$C:$C,1997,Overwash_Matrix!BU:BU,1))</f>
        <v>0</v>
      </c>
      <c r="BP17" s="53">
        <f>IF(COUNTIF(Overwash_Matrix!$C:$C,1997)=0,"",COUNTIFS(Overwash_Matrix!$C:$C,1997,Overwash_Matrix!BV:BV,1))</f>
        <v>0</v>
      </c>
      <c r="BQ17" s="53">
        <f>IF(COUNTIF(Overwash_Matrix!$C:$C,1997)=0,"",COUNTIFS(Overwash_Matrix!$C:$C,1997,Overwash_Matrix!BW:BW,1))</f>
        <v>0</v>
      </c>
      <c r="BR17" s="53">
        <f>IF(COUNTIF(Overwash_Matrix!$C:$C,1997)=0,"",COUNTIFS(Overwash_Matrix!$C:$C,1997,Overwash_Matrix!BX:BX,1))</f>
        <v>0</v>
      </c>
      <c r="BS17" s="53">
        <f>IF(COUNTIF(Overwash_Matrix!$C:$C,1997)=0,"",COUNTIFS(Overwash_Matrix!$C:$C,1997,Overwash_Matrix!BY:BY,1))</f>
        <v>0</v>
      </c>
      <c r="BT17" s="53">
        <f>IF(COUNTIF(Overwash_Matrix!$C:$C,1997)=0,"",COUNTIFS(Overwash_Matrix!$C:$C,1997,Overwash_Matrix!BZ:BZ,1))</f>
        <v>0</v>
      </c>
      <c r="BU17" s="53">
        <f>IF(COUNTIF(Overwash_Matrix!$C:$C,1997)=0,"",COUNTIFS(Overwash_Matrix!$C:$C,1997,Overwash_Matrix!CA:CA,1))</f>
        <v>0</v>
      </c>
      <c r="BV17" s="53">
        <f>IF(COUNTIF(Overwash_Matrix!$C:$C,1997)=0,"",COUNTIFS(Overwash_Matrix!$C:$C,1997,Overwash_Matrix!CB:CB,1))</f>
        <v>0</v>
      </c>
      <c r="BW17" s="53">
        <f>IF(COUNTIF(Overwash_Matrix!$C:$C,1997)=0,"",COUNTIFS(Overwash_Matrix!$C:$C,1997,Overwash_Matrix!CC:CC,1))</f>
        <v>0</v>
      </c>
      <c r="BX17" s="53">
        <f>IF(COUNTIF(Overwash_Matrix!$C:$C,1997)=0,"",COUNTIFS(Overwash_Matrix!$C:$C,1997,Overwash_Matrix!CD:CD,1))</f>
        <v>0</v>
      </c>
      <c r="BY17" s="53">
        <f>IF(COUNTIF(Overwash_Matrix!$C:$C,1997)=0,"",COUNTIFS(Overwash_Matrix!$C:$C,1997,Overwash_Matrix!CE:CE,1))</f>
        <v>0</v>
      </c>
      <c r="BZ17" s="53">
        <f>IF(COUNTIF(Overwash_Matrix!$C:$C,1997)=0,"",COUNTIFS(Overwash_Matrix!$C:$C,1997,Overwash_Matrix!CF:CF,1))</f>
        <v>0</v>
      </c>
      <c r="CA17" s="53">
        <f>IF(COUNTIF(Overwash_Matrix!$C:$C,1997)=0,"",COUNTIFS(Overwash_Matrix!$C:$C,1997,Overwash_Matrix!CG:CG,1))</f>
        <v>0</v>
      </c>
      <c r="CB17" s="53">
        <f>IF(COUNTIF(Overwash_Matrix!$C:$C,1997)=0,"",COUNTIFS(Overwash_Matrix!$C:$C,1997,Overwash_Matrix!CH:CH,1))</f>
        <v>0</v>
      </c>
      <c r="CC17" s="53">
        <f>IF(COUNTIF(Overwash_Matrix!$C:$C,1997)=0,"",COUNTIFS(Overwash_Matrix!$C:$C,1997,Overwash_Matrix!CI:CI,1))</f>
        <v>0</v>
      </c>
      <c r="CD17" s="53">
        <f>IF(COUNTIF(Overwash_Matrix!$C:$C,1997)=0,"",COUNTIFS(Overwash_Matrix!$C:$C,1997,Overwash_Matrix!CJ:CJ,1))</f>
        <v>0</v>
      </c>
      <c r="CE17" s="53">
        <f>IF(COUNTIF(Overwash_Matrix!$C:$C,1997)=0,"",COUNTIFS(Overwash_Matrix!$C:$C,1997,Overwash_Matrix!CK:CK,1))</f>
        <v>0</v>
      </c>
      <c r="CF17" s="53">
        <f>IF(COUNTIF(Overwash_Matrix!$C:$C,1997)=0,"",COUNTIFS(Overwash_Matrix!$C:$C,1997,Overwash_Matrix!CL:CL,1))</f>
        <v>0</v>
      </c>
      <c r="CG17" s="53">
        <f>IF(COUNTIF(Overwash_Matrix!$C:$C,1997)=0,"",COUNTIFS(Overwash_Matrix!$C:$C,1997,Overwash_Matrix!CM:CM,1))</f>
        <v>0</v>
      </c>
      <c r="CH17" s="53">
        <f>IF(COUNTIF(Overwash_Matrix!$C:$C,1997)=0,"",COUNTIFS(Overwash_Matrix!$C:$C,1997,Overwash_Matrix!CN:CN,1))</f>
        <v>0</v>
      </c>
      <c r="CI17" s="53">
        <f>IF(COUNTIF(Overwash_Matrix!$C:$C,1997)=0,"",COUNTIFS(Overwash_Matrix!$C:$C,1997,Overwash_Matrix!CO:CO,1))</f>
        <v>0</v>
      </c>
      <c r="CJ17" s="53">
        <f>IF(COUNTIF(Overwash_Matrix!$C:$C,1997)=0,"",COUNTIFS(Overwash_Matrix!$C:$C,1997,Overwash_Matrix!CP:CP,1))</f>
        <v>0</v>
      </c>
      <c r="CK17" s="53">
        <f>IF(COUNTIF(Overwash_Matrix!$C:$C,1997)=0,"",COUNTIFS(Overwash_Matrix!$C:$C,1997,Overwash_Matrix!CQ:CQ,1))</f>
        <v>0</v>
      </c>
      <c r="CL17" s="53">
        <f>IF(COUNTIF(Overwash_Matrix!$C:$C,1997)=0,"",COUNTIFS(Overwash_Matrix!$C:$C,1997,Overwash_Matrix!CR:CR,1))</f>
        <v>0</v>
      </c>
      <c r="CM17" s="53">
        <f>IF(COUNTIF(Overwash_Matrix!$C:$C,1997)=0,"",COUNTIFS(Overwash_Matrix!$C:$C,1997,Overwash_Matrix!CS:CS,1))</f>
        <v>0</v>
      </c>
      <c r="CN17" s="53">
        <f>IF(COUNTIF(Overwash_Matrix!$C:$C,1997)=0,"",COUNTIFS(Overwash_Matrix!$C:$C,1997,Overwash_Matrix!CT:CT,1))</f>
        <v>0</v>
      </c>
    </row>
    <row r="18" ht="13.5" customHeight="1">
      <c r="A18" s="86">
        <v>1998.0</v>
      </c>
      <c r="B18" s="87">
        <f>COUNTIF(Overwash_Matrix!$C:$C,1998)</f>
        <v>1</v>
      </c>
      <c r="C18" s="57">
        <f>IF(COUNTIF(Overwash_Matrix!$C:$C,1998)=0,"",COUNTIFS(Overwash_Matrix!$C:$C,1998,Overwash_Matrix!I:I,1))</f>
        <v>1</v>
      </c>
      <c r="D18" s="57">
        <f>IF(COUNTIF(Overwash_Matrix!$C:$C,1998)=0,"",COUNTIFS(Overwash_Matrix!$C:$C,1998,Overwash_Matrix!J:J,1))</f>
        <v>1</v>
      </c>
      <c r="E18" s="57">
        <f>IF(COUNTIF(Overwash_Matrix!$C:$C,1998)=0,"",COUNTIFS(Overwash_Matrix!$C:$C,1998,Overwash_Matrix!K:K,1))</f>
        <v>1</v>
      </c>
      <c r="F18" s="57">
        <f>IF(COUNTIF(Overwash_Matrix!$C:$C,1998)=0,"",COUNTIFS(Overwash_Matrix!$C:$C,1998,Overwash_Matrix!L:L,1))</f>
        <v>1</v>
      </c>
      <c r="G18" s="57">
        <f>IF(COUNTIF(Overwash_Matrix!$C:$C,1998)=0,"",COUNTIFS(Overwash_Matrix!$C:$C,1998,Overwash_Matrix!M:M,1))</f>
        <v>1</v>
      </c>
      <c r="H18" s="57">
        <f>IF(COUNTIF(Overwash_Matrix!$C:$C,1998)=0,"",COUNTIFS(Overwash_Matrix!$C:$C,1998,Overwash_Matrix!N:N,1))</f>
        <v>0</v>
      </c>
      <c r="I18" s="57">
        <f>IF(COUNTIF(Overwash_Matrix!$C:$C,1998)=0,"",COUNTIFS(Overwash_Matrix!$C:$C,1998,Overwash_Matrix!O:O,1))</f>
        <v>0</v>
      </c>
      <c r="J18" s="57">
        <f>IF(COUNTIF(Overwash_Matrix!$C:$C,1998)=0,"",COUNTIFS(Overwash_Matrix!$C:$C,1998,Overwash_Matrix!P:P,1))</f>
        <v>0</v>
      </c>
      <c r="K18" s="57">
        <f>IF(COUNTIF(Overwash_Matrix!$C:$C,1998)=0,"",COUNTIFS(Overwash_Matrix!$C:$C,1998,Overwash_Matrix!Q:Q,1))</f>
        <v>0</v>
      </c>
      <c r="L18" s="57">
        <f>IF(COUNTIF(Overwash_Matrix!$C:$C,1998)=0,"",COUNTIFS(Overwash_Matrix!$C:$C,1998,Overwash_Matrix!R:R,1))</f>
        <v>0</v>
      </c>
      <c r="M18" s="57">
        <f>IF(COUNTIF(Overwash_Matrix!$C:$C,1998)=0,"",COUNTIFS(Overwash_Matrix!$C:$C,1998,Overwash_Matrix!S:S,1))</f>
        <v>0</v>
      </c>
      <c r="N18" s="57">
        <f>IF(COUNTIF(Overwash_Matrix!$C:$C,1998)=0,"",COUNTIFS(Overwash_Matrix!$C:$C,1998,Overwash_Matrix!T:T,1))</f>
        <v>0</v>
      </c>
      <c r="O18" s="57">
        <f>IF(COUNTIF(Overwash_Matrix!$C:$C,1998)=0,"",COUNTIFS(Overwash_Matrix!$C:$C,1998,Overwash_Matrix!U:U,1))</f>
        <v>0</v>
      </c>
      <c r="P18" s="57">
        <f>IF(COUNTIF(Overwash_Matrix!$C:$C,1998)=0,"",COUNTIFS(Overwash_Matrix!$C:$C,1998,Overwash_Matrix!V:V,1))</f>
        <v>0</v>
      </c>
      <c r="Q18" s="57">
        <f>IF(COUNTIF(Overwash_Matrix!$C:$C,1998)=0,"",COUNTIFS(Overwash_Matrix!$C:$C,1998,Overwash_Matrix!W:W,1))</f>
        <v>1</v>
      </c>
      <c r="R18" s="57">
        <f>IF(COUNTIF(Overwash_Matrix!$C:$C,1998)=0,"",COUNTIFS(Overwash_Matrix!$C:$C,1998,Overwash_Matrix!X:X,1))</f>
        <v>1</v>
      </c>
      <c r="S18" s="57">
        <f>IF(COUNTIF(Overwash_Matrix!$C:$C,1998)=0,"",COUNTIFS(Overwash_Matrix!$C:$C,1998,Overwash_Matrix!Y:Y,1))</f>
        <v>0</v>
      </c>
      <c r="T18" s="57">
        <f>IF(COUNTIF(Overwash_Matrix!$C:$C,1998)=0,"",COUNTIFS(Overwash_Matrix!$C:$C,1998,Overwash_Matrix!Z:Z,1))</f>
        <v>0</v>
      </c>
      <c r="U18" s="57">
        <f>IF(COUNTIF(Overwash_Matrix!$C:$C,1998)=0,"",COUNTIFS(Overwash_Matrix!$C:$C,1998,Overwash_Matrix!AA:AA,1))</f>
        <v>0</v>
      </c>
      <c r="V18" s="57">
        <f>IF(COUNTIF(Overwash_Matrix!$C:$C,1998)=0,"",COUNTIFS(Overwash_Matrix!$C:$C,1998,Overwash_Matrix!AB:AB,1))</f>
        <v>0</v>
      </c>
      <c r="W18" s="57">
        <f>IF(COUNTIF(Overwash_Matrix!$C:$C,1998)=0,"",COUNTIFS(Overwash_Matrix!$C:$C,1998,Overwash_Matrix!AC:AC,1))</f>
        <v>0</v>
      </c>
      <c r="X18" s="57">
        <f>IF(COUNTIF(Overwash_Matrix!$C:$C,1998)=0,"",COUNTIFS(Overwash_Matrix!$C:$C,1998,Overwash_Matrix!AD:AD,1))</f>
        <v>0</v>
      </c>
      <c r="Y18" s="57">
        <f>IF(COUNTIF(Overwash_Matrix!$C:$C,1998)=0,"",COUNTIFS(Overwash_Matrix!$C:$C,1998,Overwash_Matrix!AE:AE,1))</f>
        <v>0</v>
      </c>
      <c r="Z18" s="57">
        <f>IF(COUNTIF(Overwash_Matrix!$C:$C,1998)=0,"",COUNTIFS(Overwash_Matrix!$C:$C,1998,Overwash_Matrix!AF:AF,1))</f>
        <v>0</v>
      </c>
      <c r="AA18" s="57">
        <f>IF(COUNTIF(Overwash_Matrix!$C:$C,1998)=0,"",COUNTIFS(Overwash_Matrix!$C:$C,1998,Overwash_Matrix!AG:AG,1))</f>
        <v>0</v>
      </c>
      <c r="AB18" s="57">
        <f>IF(COUNTIF(Overwash_Matrix!$C:$C,1998)=0,"",COUNTIFS(Overwash_Matrix!$C:$C,1998,Overwash_Matrix!AH:AH,1))</f>
        <v>0</v>
      </c>
      <c r="AC18" s="57">
        <f>IF(COUNTIF(Overwash_Matrix!$C:$C,1998)=0,"",COUNTIFS(Overwash_Matrix!$C:$C,1998,Overwash_Matrix!AI:AI,1))</f>
        <v>0</v>
      </c>
      <c r="AD18" s="57">
        <f>IF(COUNTIF(Overwash_Matrix!$C:$C,1998)=0,"",COUNTIFS(Overwash_Matrix!$C:$C,1998,Overwash_Matrix!AJ:AJ,1))</f>
        <v>0</v>
      </c>
      <c r="AE18" s="57">
        <f>IF(COUNTIF(Overwash_Matrix!$C:$C,1998)=0,"",COUNTIFS(Overwash_Matrix!$C:$C,1998,Overwash_Matrix!AK:AK,1))</f>
        <v>0</v>
      </c>
      <c r="AF18" s="57">
        <f>IF(COUNTIF(Overwash_Matrix!$C:$C,1998)=0,"",COUNTIFS(Overwash_Matrix!$C:$C,1998,Overwash_Matrix!AL:AL,1))</f>
        <v>0</v>
      </c>
      <c r="AG18" s="57">
        <f>IF(COUNTIF(Overwash_Matrix!$C:$C,1998)=0,"",COUNTIFS(Overwash_Matrix!$C:$C,1998,Overwash_Matrix!AM:AM,1))</f>
        <v>0</v>
      </c>
      <c r="AH18" s="57">
        <f>IF(COUNTIF(Overwash_Matrix!$C:$C,1998)=0,"",COUNTIFS(Overwash_Matrix!$C:$C,1998,Overwash_Matrix!AN:AN,1))</f>
        <v>0</v>
      </c>
      <c r="AI18" s="57">
        <f>IF(COUNTIF(Overwash_Matrix!$C:$C,1998)=0,"",COUNTIFS(Overwash_Matrix!$C:$C,1998,Overwash_Matrix!AO:AO,1))</f>
        <v>0</v>
      </c>
      <c r="AJ18" s="57">
        <f>IF(COUNTIF(Overwash_Matrix!$C:$C,1998)=0,"",COUNTIFS(Overwash_Matrix!$C:$C,1998,Overwash_Matrix!AP:AP,1))</f>
        <v>0</v>
      </c>
      <c r="AK18" s="57">
        <f>IF(COUNTIF(Overwash_Matrix!$C:$C,1998)=0,"",COUNTIFS(Overwash_Matrix!$C:$C,1998,Overwash_Matrix!AQ:AQ,1))</f>
        <v>0</v>
      </c>
      <c r="AL18" s="57">
        <f>IF(COUNTIF(Overwash_Matrix!$C:$C,1998)=0,"",COUNTIFS(Overwash_Matrix!$C:$C,1998,Overwash_Matrix!AR:AR,1))</f>
        <v>0</v>
      </c>
      <c r="AM18" s="57">
        <f>IF(COUNTIF(Overwash_Matrix!$C:$C,1998)=0,"",COUNTIFS(Overwash_Matrix!$C:$C,1998,Overwash_Matrix!AS:AS,1))</f>
        <v>0</v>
      </c>
      <c r="AN18" s="57">
        <f>IF(COUNTIF(Overwash_Matrix!$C:$C,1998)=0,"",COUNTIFS(Overwash_Matrix!$C:$C,1998,Overwash_Matrix!AT:AT,1))</f>
        <v>0</v>
      </c>
      <c r="AO18" s="57">
        <f>IF(COUNTIF(Overwash_Matrix!$C:$C,1998)=0,"",COUNTIFS(Overwash_Matrix!$C:$C,1998,Overwash_Matrix!AU:AU,1))</f>
        <v>0</v>
      </c>
      <c r="AP18" s="57">
        <f>IF(COUNTIF(Overwash_Matrix!$C:$C,1998)=0,"",COUNTIFS(Overwash_Matrix!$C:$C,1998,Overwash_Matrix!AV:AV,1))</f>
        <v>0</v>
      </c>
      <c r="AQ18" s="57">
        <f>IF(COUNTIF(Overwash_Matrix!$C:$C,1998)=0,"",COUNTIFS(Overwash_Matrix!$C:$C,1998,Overwash_Matrix!AW:AW,1))</f>
        <v>0</v>
      </c>
      <c r="AR18" s="57">
        <f>IF(COUNTIF(Overwash_Matrix!$C:$C,1998)=0,"",COUNTIFS(Overwash_Matrix!$C:$C,1998,Overwash_Matrix!AX:AX,1))</f>
        <v>0</v>
      </c>
      <c r="AS18" s="57">
        <f>IF(COUNTIF(Overwash_Matrix!$C:$C,1998)=0,"",COUNTIFS(Overwash_Matrix!$C:$C,1998,Overwash_Matrix!AY:AY,1))</f>
        <v>0</v>
      </c>
      <c r="AT18" s="57">
        <f>IF(COUNTIF(Overwash_Matrix!$C:$C,1998)=0,"",COUNTIFS(Overwash_Matrix!$C:$C,1998,Overwash_Matrix!AZ:AZ,1))</f>
        <v>0</v>
      </c>
      <c r="AU18" s="57">
        <f>IF(COUNTIF(Overwash_Matrix!$C:$C,1998)=0,"",COUNTIFS(Overwash_Matrix!$C:$C,1998,Overwash_Matrix!BA:BA,1))</f>
        <v>0</v>
      </c>
      <c r="AV18" s="57">
        <f>IF(COUNTIF(Overwash_Matrix!$C:$C,1998)=0,"",COUNTIFS(Overwash_Matrix!$C:$C,1998,Overwash_Matrix!BB:BB,1))</f>
        <v>0</v>
      </c>
      <c r="AW18" s="57">
        <f>IF(COUNTIF(Overwash_Matrix!$C:$C,1998)=0,"",COUNTIFS(Overwash_Matrix!$C:$C,1998,Overwash_Matrix!BC:BC,1))</f>
        <v>0</v>
      </c>
      <c r="AX18" s="57">
        <f>IF(COUNTIF(Overwash_Matrix!$C:$C,1998)=0,"",COUNTIFS(Overwash_Matrix!$C:$C,1998,Overwash_Matrix!BD:BD,1))</f>
        <v>0</v>
      </c>
      <c r="AY18" s="57">
        <f>IF(COUNTIF(Overwash_Matrix!$C:$C,1998)=0,"",COUNTIFS(Overwash_Matrix!$C:$C,1998,Overwash_Matrix!BE:BE,1))</f>
        <v>0</v>
      </c>
      <c r="AZ18" s="57">
        <f>IF(COUNTIF(Overwash_Matrix!$C:$C,1998)=0,"",COUNTIFS(Overwash_Matrix!$C:$C,1998,Overwash_Matrix!BF:BF,1))</f>
        <v>0</v>
      </c>
      <c r="BA18" s="57">
        <f>IF(COUNTIF(Overwash_Matrix!$C:$C,1998)=0,"",COUNTIFS(Overwash_Matrix!$C:$C,1998,Overwash_Matrix!BG:BG,1))</f>
        <v>0</v>
      </c>
      <c r="BB18" s="57">
        <f>IF(COUNTIF(Overwash_Matrix!$C:$C,1998)=0,"",COUNTIFS(Overwash_Matrix!$C:$C,1998,Overwash_Matrix!BH:BH,1))</f>
        <v>0</v>
      </c>
      <c r="BC18" s="57">
        <f>IF(COUNTIF(Overwash_Matrix!$C:$C,1998)=0,"",COUNTIFS(Overwash_Matrix!$C:$C,1998,Overwash_Matrix!BI:BI,1))</f>
        <v>0</v>
      </c>
      <c r="BD18" s="57">
        <f>IF(COUNTIF(Overwash_Matrix!$C:$C,1998)=0,"",COUNTIFS(Overwash_Matrix!$C:$C,1998,Overwash_Matrix!BJ:BJ,1))</f>
        <v>0</v>
      </c>
      <c r="BE18" s="57">
        <f>IF(COUNTIF(Overwash_Matrix!$C:$C,1998)=0,"",COUNTIFS(Overwash_Matrix!$C:$C,1998,Overwash_Matrix!BK:BK,1))</f>
        <v>0</v>
      </c>
      <c r="BF18" s="57">
        <f>IF(COUNTIF(Overwash_Matrix!$C:$C,1998)=0,"",COUNTIFS(Overwash_Matrix!$C:$C,1998,Overwash_Matrix!BL:BL,1))</f>
        <v>0</v>
      </c>
      <c r="BG18" s="57">
        <f>IF(COUNTIF(Overwash_Matrix!$C:$C,1998)=0,"",COUNTIFS(Overwash_Matrix!$C:$C,1998,Overwash_Matrix!BM:BM,1))</f>
        <v>0</v>
      </c>
      <c r="BH18" s="57">
        <f>IF(COUNTIF(Overwash_Matrix!$C:$C,1998)=0,"",COUNTIFS(Overwash_Matrix!$C:$C,1998,Overwash_Matrix!BN:BN,1))</f>
        <v>0</v>
      </c>
      <c r="BI18" s="57">
        <f>IF(COUNTIF(Overwash_Matrix!$C:$C,1998)=0,"",COUNTIFS(Overwash_Matrix!$C:$C,1998,Overwash_Matrix!BO:BO,1))</f>
        <v>0</v>
      </c>
      <c r="BJ18" s="57">
        <f>IF(COUNTIF(Overwash_Matrix!$C:$C,1998)=0,"",COUNTIFS(Overwash_Matrix!$C:$C,1998,Overwash_Matrix!BP:BP,1))</f>
        <v>0</v>
      </c>
      <c r="BK18" s="57">
        <f>IF(COUNTIF(Overwash_Matrix!$C:$C,1998)=0,"",COUNTIFS(Overwash_Matrix!$C:$C,1998,Overwash_Matrix!BQ:BQ,1))</f>
        <v>0</v>
      </c>
      <c r="BL18" s="57">
        <f>IF(COUNTIF(Overwash_Matrix!$C:$C,1998)=0,"",COUNTIFS(Overwash_Matrix!$C:$C,1998,Overwash_Matrix!BR:BR,1))</f>
        <v>0</v>
      </c>
      <c r="BM18" s="57">
        <f>IF(COUNTIF(Overwash_Matrix!$C:$C,1998)=0,"",COUNTIFS(Overwash_Matrix!$C:$C,1998,Overwash_Matrix!BS:BS,1))</f>
        <v>0</v>
      </c>
      <c r="BN18" s="57">
        <f>IF(COUNTIF(Overwash_Matrix!$C:$C,1998)=0,"",COUNTIFS(Overwash_Matrix!$C:$C,1998,Overwash_Matrix!BT:BT,1))</f>
        <v>0</v>
      </c>
      <c r="BO18" s="57">
        <f>IF(COUNTIF(Overwash_Matrix!$C:$C,1998)=0,"",COUNTIFS(Overwash_Matrix!$C:$C,1998,Overwash_Matrix!BU:BU,1))</f>
        <v>0</v>
      </c>
      <c r="BP18" s="57">
        <f>IF(COUNTIF(Overwash_Matrix!$C:$C,1998)=0,"",COUNTIFS(Overwash_Matrix!$C:$C,1998,Overwash_Matrix!BV:BV,1))</f>
        <v>0</v>
      </c>
      <c r="BQ18" s="57">
        <f>IF(COUNTIF(Overwash_Matrix!$C:$C,1998)=0,"",COUNTIFS(Overwash_Matrix!$C:$C,1998,Overwash_Matrix!BW:BW,1))</f>
        <v>0</v>
      </c>
      <c r="BR18" s="57">
        <f>IF(COUNTIF(Overwash_Matrix!$C:$C,1998)=0,"",COUNTIFS(Overwash_Matrix!$C:$C,1998,Overwash_Matrix!BX:BX,1))</f>
        <v>0</v>
      </c>
      <c r="BS18" s="57">
        <f>IF(COUNTIF(Overwash_Matrix!$C:$C,1998)=0,"",COUNTIFS(Overwash_Matrix!$C:$C,1998,Overwash_Matrix!BY:BY,1))</f>
        <v>0</v>
      </c>
      <c r="BT18" s="57">
        <f>IF(COUNTIF(Overwash_Matrix!$C:$C,1998)=0,"",COUNTIFS(Overwash_Matrix!$C:$C,1998,Overwash_Matrix!BZ:BZ,1))</f>
        <v>0</v>
      </c>
      <c r="BU18" s="57">
        <f>IF(COUNTIF(Overwash_Matrix!$C:$C,1998)=0,"",COUNTIFS(Overwash_Matrix!$C:$C,1998,Overwash_Matrix!CA:CA,1))</f>
        <v>0</v>
      </c>
      <c r="BV18" s="57">
        <f>IF(COUNTIF(Overwash_Matrix!$C:$C,1998)=0,"",COUNTIFS(Overwash_Matrix!$C:$C,1998,Overwash_Matrix!CB:CB,1))</f>
        <v>0</v>
      </c>
      <c r="BW18" s="57">
        <f>IF(COUNTIF(Overwash_Matrix!$C:$C,1998)=0,"",COUNTIFS(Overwash_Matrix!$C:$C,1998,Overwash_Matrix!CC:CC,1))</f>
        <v>0</v>
      </c>
      <c r="BX18" s="57">
        <f>IF(COUNTIF(Overwash_Matrix!$C:$C,1998)=0,"",COUNTIFS(Overwash_Matrix!$C:$C,1998,Overwash_Matrix!CD:CD,1))</f>
        <v>0</v>
      </c>
      <c r="BY18" s="57">
        <f>IF(COUNTIF(Overwash_Matrix!$C:$C,1998)=0,"",COUNTIFS(Overwash_Matrix!$C:$C,1998,Overwash_Matrix!CE:CE,1))</f>
        <v>0</v>
      </c>
      <c r="BZ18" s="57">
        <f>IF(COUNTIF(Overwash_Matrix!$C:$C,1998)=0,"",COUNTIFS(Overwash_Matrix!$C:$C,1998,Overwash_Matrix!CF:CF,1))</f>
        <v>0</v>
      </c>
      <c r="CA18" s="57">
        <f>IF(COUNTIF(Overwash_Matrix!$C:$C,1998)=0,"",COUNTIFS(Overwash_Matrix!$C:$C,1998,Overwash_Matrix!CG:CG,1))</f>
        <v>0</v>
      </c>
      <c r="CB18" s="57">
        <f>IF(COUNTIF(Overwash_Matrix!$C:$C,1998)=0,"",COUNTIFS(Overwash_Matrix!$C:$C,1998,Overwash_Matrix!CH:CH,1))</f>
        <v>0</v>
      </c>
      <c r="CC18" s="57">
        <f>IF(COUNTIF(Overwash_Matrix!$C:$C,1998)=0,"",COUNTIFS(Overwash_Matrix!$C:$C,1998,Overwash_Matrix!CI:CI,1))</f>
        <v>0</v>
      </c>
      <c r="CD18" s="57">
        <f>IF(COUNTIF(Overwash_Matrix!$C:$C,1998)=0,"",COUNTIFS(Overwash_Matrix!$C:$C,1998,Overwash_Matrix!CJ:CJ,1))</f>
        <v>0</v>
      </c>
      <c r="CE18" s="57">
        <f>IF(COUNTIF(Overwash_Matrix!$C:$C,1998)=0,"",COUNTIFS(Overwash_Matrix!$C:$C,1998,Overwash_Matrix!CK:CK,1))</f>
        <v>0</v>
      </c>
      <c r="CF18" s="57">
        <f>IF(COUNTIF(Overwash_Matrix!$C:$C,1998)=0,"",COUNTIFS(Overwash_Matrix!$C:$C,1998,Overwash_Matrix!CL:CL,1))</f>
        <v>0</v>
      </c>
      <c r="CG18" s="57">
        <f>IF(COUNTIF(Overwash_Matrix!$C:$C,1998)=0,"",COUNTIFS(Overwash_Matrix!$C:$C,1998,Overwash_Matrix!CM:CM,1))</f>
        <v>0</v>
      </c>
      <c r="CH18" s="57">
        <f>IF(COUNTIF(Overwash_Matrix!$C:$C,1998)=0,"",COUNTIFS(Overwash_Matrix!$C:$C,1998,Overwash_Matrix!CN:CN,1))</f>
        <v>0</v>
      </c>
      <c r="CI18" s="57">
        <f>IF(COUNTIF(Overwash_Matrix!$C:$C,1998)=0,"",COUNTIFS(Overwash_Matrix!$C:$C,1998,Overwash_Matrix!CO:CO,1))</f>
        <v>0</v>
      </c>
      <c r="CJ18" s="57">
        <f>IF(COUNTIF(Overwash_Matrix!$C:$C,1998)=0,"",COUNTIFS(Overwash_Matrix!$C:$C,1998,Overwash_Matrix!CP:CP,1))</f>
        <v>0</v>
      </c>
      <c r="CK18" s="57">
        <f>IF(COUNTIF(Overwash_Matrix!$C:$C,1998)=0,"",COUNTIFS(Overwash_Matrix!$C:$C,1998,Overwash_Matrix!CQ:CQ,1))</f>
        <v>0</v>
      </c>
      <c r="CL18" s="57">
        <f>IF(COUNTIF(Overwash_Matrix!$C:$C,1998)=0,"",COUNTIFS(Overwash_Matrix!$C:$C,1998,Overwash_Matrix!CR:CR,1))</f>
        <v>0</v>
      </c>
      <c r="CM18" s="57">
        <f>IF(COUNTIF(Overwash_Matrix!$C:$C,1998)=0,"",COUNTIFS(Overwash_Matrix!$C:$C,1998,Overwash_Matrix!CS:CS,1))</f>
        <v>0</v>
      </c>
      <c r="CN18" s="57">
        <f>IF(COUNTIF(Overwash_Matrix!$C:$C,1998)=0,"",COUNTIFS(Overwash_Matrix!$C:$C,1998,Overwash_Matrix!CT:CT,1))</f>
        <v>0</v>
      </c>
    </row>
    <row r="19" ht="13.5" customHeight="1">
      <c r="A19" s="88">
        <v>1999.0</v>
      </c>
      <c r="B19" s="89">
        <f>COUNTIF(Overwash_Matrix!$C:$C,1999)</f>
        <v>0</v>
      </c>
      <c r="C19" s="53" t="str">
        <f>IF(COUNTIF(Overwash_Matrix!$C:$C,1999)=0,"",COUNTIFS(Overwash_Matrix!$C:$C,1999,Overwash_Matrix!I:I,1))</f>
        <v/>
      </c>
      <c r="D19" s="53" t="str">
        <f>IF(COUNTIF(Overwash_Matrix!$C:$C,1999)=0,"",COUNTIFS(Overwash_Matrix!$C:$C,1999,Overwash_Matrix!J:J,1))</f>
        <v/>
      </c>
      <c r="E19" s="53" t="str">
        <f>IF(COUNTIF(Overwash_Matrix!$C:$C,1999)=0,"",COUNTIFS(Overwash_Matrix!$C:$C,1999,Overwash_Matrix!K:K,1))</f>
        <v/>
      </c>
      <c r="F19" s="53" t="str">
        <f>IF(COUNTIF(Overwash_Matrix!$C:$C,1999)=0,"",COUNTIFS(Overwash_Matrix!$C:$C,1999,Overwash_Matrix!L:L,1))</f>
        <v/>
      </c>
      <c r="G19" s="53" t="str">
        <f>IF(COUNTIF(Overwash_Matrix!$C:$C,1999)=0,"",COUNTIFS(Overwash_Matrix!$C:$C,1999,Overwash_Matrix!M:M,1))</f>
        <v/>
      </c>
      <c r="H19" s="53" t="str">
        <f>IF(COUNTIF(Overwash_Matrix!$C:$C,1999)=0,"",COUNTIFS(Overwash_Matrix!$C:$C,1999,Overwash_Matrix!N:N,1))</f>
        <v/>
      </c>
      <c r="I19" s="53" t="str">
        <f>IF(COUNTIF(Overwash_Matrix!$C:$C,1999)=0,"",COUNTIFS(Overwash_Matrix!$C:$C,1999,Overwash_Matrix!O:O,1))</f>
        <v/>
      </c>
      <c r="J19" s="53" t="str">
        <f>IF(COUNTIF(Overwash_Matrix!$C:$C,1999)=0,"",COUNTIFS(Overwash_Matrix!$C:$C,1999,Overwash_Matrix!P:P,1))</f>
        <v/>
      </c>
      <c r="K19" s="53" t="str">
        <f>IF(COUNTIF(Overwash_Matrix!$C:$C,1999)=0,"",COUNTIFS(Overwash_Matrix!$C:$C,1999,Overwash_Matrix!Q:Q,1))</f>
        <v/>
      </c>
      <c r="L19" s="53" t="str">
        <f>IF(COUNTIF(Overwash_Matrix!$C:$C,1999)=0,"",COUNTIFS(Overwash_Matrix!$C:$C,1999,Overwash_Matrix!R:R,1))</f>
        <v/>
      </c>
      <c r="M19" s="53" t="str">
        <f>IF(COUNTIF(Overwash_Matrix!$C:$C,1999)=0,"",COUNTIFS(Overwash_Matrix!$C:$C,1999,Overwash_Matrix!S:S,1))</f>
        <v/>
      </c>
      <c r="N19" s="53" t="str">
        <f>IF(COUNTIF(Overwash_Matrix!$C:$C,1999)=0,"",COUNTIFS(Overwash_Matrix!$C:$C,1999,Overwash_Matrix!T:T,1))</f>
        <v/>
      </c>
      <c r="O19" s="53" t="str">
        <f>IF(COUNTIF(Overwash_Matrix!$C:$C,1999)=0,"",COUNTIFS(Overwash_Matrix!$C:$C,1999,Overwash_Matrix!U:U,1))</f>
        <v/>
      </c>
      <c r="P19" s="53" t="str">
        <f>IF(COUNTIF(Overwash_Matrix!$C:$C,1999)=0,"",COUNTIFS(Overwash_Matrix!$C:$C,1999,Overwash_Matrix!V:V,1))</f>
        <v/>
      </c>
      <c r="Q19" s="53" t="str">
        <f>IF(COUNTIF(Overwash_Matrix!$C:$C,1999)=0,"",COUNTIFS(Overwash_Matrix!$C:$C,1999,Overwash_Matrix!W:W,1))</f>
        <v/>
      </c>
      <c r="R19" s="53" t="str">
        <f>IF(COUNTIF(Overwash_Matrix!$C:$C,1999)=0,"",COUNTIFS(Overwash_Matrix!$C:$C,1999,Overwash_Matrix!X:X,1))</f>
        <v/>
      </c>
      <c r="S19" s="53" t="str">
        <f>IF(COUNTIF(Overwash_Matrix!$C:$C,1999)=0,"",COUNTIFS(Overwash_Matrix!$C:$C,1999,Overwash_Matrix!Y:Y,1))</f>
        <v/>
      </c>
      <c r="T19" s="53" t="str">
        <f>IF(COUNTIF(Overwash_Matrix!$C:$C,1999)=0,"",COUNTIFS(Overwash_Matrix!$C:$C,1999,Overwash_Matrix!Z:Z,1))</f>
        <v/>
      </c>
      <c r="U19" s="53" t="str">
        <f>IF(COUNTIF(Overwash_Matrix!$C:$C,1999)=0,"",COUNTIFS(Overwash_Matrix!$C:$C,1999,Overwash_Matrix!AA:AA,1))</f>
        <v/>
      </c>
      <c r="V19" s="53" t="str">
        <f>IF(COUNTIF(Overwash_Matrix!$C:$C,1999)=0,"",COUNTIFS(Overwash_Matrix!$C:$C,1999,Overwash_Matrix!AB:AB,1))</f>
        <v/>
      </c>
      <c r="W19" s="53" t="str">
        <f>IF(COUNTIF(Overwash_Matrix!$C:$C,1999)=0,"",COUNTIFS(Overwash_Matrix!$C:$C,1999,Overwash_Matrix!AC:AC,1))</f>
        <v/>
      </c>
      <c r="X19" s="53" t="str">
        <f>IF(COUNTIF(Overwash_Matrix!$C:$C,1999)=0,"",COUNTIFS(Overwash_Matrix!$C:$C,1999,Overwash_Matrix!AD:AD,1))</f>
        <v/>
      </c>
      <c r="Y19" s="53" t="str">
        <f>IF(COUNTIF(Overwash_Matrix!$C:$C,1999)=0,"",COUNTIFS(Overwash_Matrix!$C:$C,1999,Overwash_Matrix!AE:AE,1))</f>
        <v/>
      </c>
      <c r="Z19" s="53" t="str">
        <f>IF(COUNTIF(Overwash_Matrix!$C:$C,1999)=0,"",COUNTIFS(Overwash_Matrix!$C:$C,1999,Overwash_Matrix!AF:AF,1))</f>
        <v/>
      </c>
      <c r="AA19" s="53" t="str">
        <f>IF(COUNTIF(Overwash_Matrix!$C:$C,1999)=0,"",COUNTIFS(Overwash_Matrix!$C:$C,1999,Overwash_Matrix!AG:AG,1))</f>
        <v/>
      </c>
      <c r="AB19" s="53" t="str">
        <f>IF(COUNTIF(Overwash_Matrix!$C:$C,1999)=0,"",COUNTIFS(Overwash_Matrix!$C:$C,1999,Overwash_Matrix!AH:AH,1))</f>
        <v/>
      </c>
      <c r="AC19" s="53" t="str">
        <f>IF(COUNTIF(Overwash_Matrix!$C:$C,1999)=0,"",COUNTIFS(Overwash_Matrix!$C:$C,1999,Overwash_Matrix!AI:AI,1))</f>
        <v/>
      </c>
      <c r="AD19" s="53" t="str">
        <f>IF(COUNTIF(Overwash_Matrix!$C:$C,1999)=0,"",COUNTIFS(Overwash_Matrix!$C:$C,1999,Overwash_Matrix!AJ:AJ,1))</f>
        <v/>
      </c>
      <c r="AE19" s="53" t="str">
        <f>IF(COUNTIF(Overwash_Matrix!$C:$C,1999)=0,"",COUNTIFS(Overwash_Matrix!$C:$C,1999,Overwash_Matrix!AK:AK,1))</f>
        <v/>
      </c>
      <c r="AF19" s="53" t="str">
        <f>IF(COUNTIF(Overwash_Matrix!$C:$C,1999)=0,"",COUNTIFS(Overwash_Matrix!$C:$C,1999,Overwash_Matrix!AL:AL,1))</f>
        <v/>
      </c>
      <c r="AG19" s="53" t="str">
        <f>IF(COUNTIF(Overwash_Matrix!$C:$C,1999)=0,"",COUNTIFS(Overwash_Matrix!$C:$C,1999,Overwash_Matrix!AM:AM,1))</f>
        <v/>
      </c>
      <c r="AH19" s="53" t="str">
        <f>IF(COUNTIF(Overwash_Matrix!$C:$C,1999)=0,"",COUNTIFS(Overwash_Matrix!$C:$C,1999,Overwash_Matrix!AN:AN,1))</f>
        <v/>
      </c>
      <c r="AI19" s="53" t="str">
        <f>IF(COUNTIF(Overwash_Matrix!$C:$C,1999)=0,"",COUNTIFS(Overwash_Matrix!$C:$C,1999,Overwash_Matrix!AO:AO,1))</f>
        <v/>
      </c>
      <c r="AJ19" s="53" t="str">
        <f>IF(COUNTIF(Overwash_Matrix!$C:$C,1999)=0,"",COUNTIFS(Overwash_Matrix!$C:$C,1999,Overwash_Matrix!AP:AP,1))</f>
        <v/>
      </c>
      <c r="AK19" s="53" t="str">
        <f>IF(COUNTIF(Overwash_Matrix!$C:$C,1999)=0,"",COUNTIFS(Overwash_Matrix!$C:$C,1999,Overwash_Matrix!AQ:AQ,1))</f>
        <v/>
      </c>
      <c r="AL19" s="53" t="str">
        <f>IF(COUNTIF(Overwash_Matrix!$C:$C,1999)=0,"",COUNTIFS(Overwash_Matrix!$C:$C,1999,Overwash_Matrix!AR:AR,1))</f>
        <v/>
      </c>
      <c r="AM19" s="53" t="str">
        <f>IF(COUNTIF(Overwash_Matrix!$C:$C,1999)=0,"",COUNTIFS(Overwash_Matrix!$C:$C,1999,Overwash_Matrix!AS:AS,1))</f>
        <v/>
      </c>
      <c r="AN19" s="53" t="str">
        <f>IF(COUNTIF(Overwash_Matrix!$C:$C,1999)=0,"",COUNTIFS(Overwash_Matrix!$C:$C,1999,Overwash_Matrix!AT:AT,1))</f>
        <v/>
      </c>
      <c r="AO19" s="53" t="str">
        <f>IF(COUNTIF(Overwash_Matrix!$C:$C,1999)=0,"",COUNTIFS(Overwash_Matrix!$C:$C,1999,Overwash_Matrix!AU:AU,1))</f>
        <v/>
      </c>
      <c r="AP19" s="53" t="str">
        <f>IF(COUNTIF(Overwash_Matrix!$C:$C,1999)=0,"",COUNTIFS(Overwash_Matrix!$C:$C,1999,Overwash_Matrix!AV:AV,1))</f>
        <v/>
      </c>
      <c r="AQ19" s="53" t="str">
        <f>IF(COUNTIF(Overwash_Matrix!$C:$C,1999)=0,"",COUNTIFS(Overwash_Matrix!$C:$C,1999,Overwash_Matrix!AW:AW,1))</f>
        <v/>
      </c>
      <c r="AR19" s="53" t="str">
        <f>IF(COUNTIF(Overwash_Matrix!$C:$C,1999)=0,"",COUNTIFS(Overwash_Matrix!$C:$C,1999,Overwash_Matrix!AX:AX,1))</f>
        <v/>
      </c>
      <c r="AS19" s="53" t="str">
        <f>IF(COUNTIF(Overwash_Matrix!$C:$C,1999)=0,"",COUNTIFS(Overwash_Matrix!$C:$C,1999,Overwash_Matrix!AY:AY,1))</f>
        <v/>
      </c>
      <c r="AT19" s="53" t="str">
        <f>IF(COUNTIF(Overwash_Matrix!$C:$C,1999)=0,"",COUNTIFS(Overwash_Matrix!$C:$C,1999,Overwash_Matrix!AZ:AZ,1))</f>
        <v/>
      </c>
      <c r="AU19" s="53" t="str">
        <f>IF(COUNTIF(Overwash_Matrix!$C:$C,1999)=0,"",COUNTIFS(Overwash_Matrix!$C:$C,1999,Overwash_Matrix!BA:BA,1))</f>
        <v/>
      </c>
      <c r="AV19" s="53" t="str">
        <f>IF(COUNTIF(Overwash_Matrix!$C:$C,1999)=0,"",COUNTIFS(Overwash_Matrix!$C:$C,1999,Overwash_Matrix!BB:BB,1))</f>
        <v/>
      </c>
      <c r="AW19" s="53" t="str">
        <f>IF(COUNTIF(Overwash_Matrix!$C:$C,1999)=0,"",COUNTIFS(Overwash_Matrix!$C:$C,1999,Overwash_Matrix!BC:BC,1))</f>
        <v/>
      </c>
      <c r="AX19" s="53" t="str">
        <f>IF(COUNTIF(Overwash_Matrix!$C:$C,1999)=0,"",COUNTIFS(Overwash_Matrix!$C:$C,1999,Overwash_Matrix!BD:BD,1))</f>
        <v/>
      </c>
      <c r="AY19" s="53" t="str">
        <f>IF(COUNTIF(Overwash_Matrix!$C:$C,1999)=0,"",COUNTIFS(Overwash_Matrix!$C:$C,1999,Overwash_Matrix!BE:BE,1))</f>
        <v/>
      </c>
      <c r="AZ19" s="53" t="str">
        <f>IF(COUNTIF(Overwash_Matrix!$C:$C,1999)=0,"",COUNTIFS(Overwash_Matrix!$C:$C,1999,Overwash_Matrix!BF:BF,1))</f>
        <v/>
      </c>
      <c r="BA19" s="53" t="str">
        <f>IF(COUNTIF(Overwash_Matrix!$C:$C,1999)=0,"",COUNTIFS(Overwash_Matrix!$C:$C,1999,Overwash_Matrix!BG:BG,1))</f>
        <v/>
      </c>
      <c r="BB19" s="53" t="str">
        <f>IF(COUNTIF(Overwash_Matrix!$C:$C,1999)=0,"",COUNTIFS(Overwash_Matrix!$C:$C,1999,Overwash_Matrix!BH:BH,1))</f>
        <v/>
      </c>
      <c r="BC19" s="53" t="str">
        <f>IF(COUNTIF(Overwash_Matrix!$C:$C,1999)=0,"",COUNTIFS(Overwash_Matrix!$C:$C,1999,Overwash_Matrix!BI:BI,1))</f>
        <v/>
      </c>
      <c r="BD19" s="53" t="str">
        <f>IF(COUNTIF(Overwash_Matrix!$C:$C,1999)=0,"",COUNTIFS(Overwash_Matrix!$C:$C,1999,Overwash_Matrix!BJ:BJ,1))</f>
        <v/>
      </c>
      <c r="BE19" s="53" t="str">
        <f>IF(COUNTIF(Overwash_Matrix!$C:$C,1999)=0,"",COUNTIFS(Overwash_Matrix!$C:$C,1999,Overwash_Matrix!BK:BK,1))</f>
        <v/>
      </c>
      <c r="BF19" s="53" t="str">
        <f>IF(COUNTIF(Overwash_Matrix!$C:$C,1999)=0,"",COUNTIFS(Overwash_Matrix!$C:$C,1999,Overwash_Matrix!BL:BL,1))</f>
        <v/>
      </c>
      <c r="BG19" s="53" t="str">
        <f>IF(COUNTIF(Overwash_Matrix!$C:$C,1999)=0,"",COUNTIFS(Overwash_Matrix!$C:$C,1999,Overwash_Matrix!BM:BM,1))</f>
        <v/>
      </c>
      <c r="BH19" s="53" t="str">
        <f>IF(COUNTIF(Overwash_Matrix!$C:$C,1999)=0,"",COUNTIFS(Overwash_Matrix!$C:$C,1999,Overwash_Matrix!BN:BN,1))</f>
        <v/>
      </c>
      <c r="BI19" s="53" t="str">
        <f>IF(COUNTIF(Overwash_Matrix!$C:$C,1999)=0,"",COUNTIFS(Overwash_Matrix!$C:$C,1999,Overwash_Matrix!BO:BO,1))</f>
        <v/>
      </c>
      <c r="BJ19" s="53" t="str">
        <f>IF(COUNTIF(Overwash_Matrix!$C:$C,1999)=0,"",COUNTIFS(Overwash_Matrix!$C:$C,1999,Overwash_Matrix!BP:BP,1))</f>
        <v/>
      </c>
      <c r="BK19" s="53" t="str">
        <f>IF(COUNTIF(Overwash_Matrix!$C:$C,1999)=0,"",COUNTIFS(Overwash_Matrix!$C:$C,1999,Overwash_Matrix!BQ:BQ,1))</f>
        <v/>
      </c>
      <c r="BL19" s="53" t="str">
        <f>IF(COUNTIF(Overwash_Matrix!$C:$C,1999)=0,"",COUNTIFS(Overwash_Matrix!$C:$C,1999,Overwash_Matrix!BR:BR,1))</f>
        <v/>
      </c>
      <c r="BM19" s="53" t="str">
        <f>IF(COUNTIF(Overwash_Matrix!$C:$C,1999)=0,"",COUNTIFS(Overwash_Matrix!$C:$C,1999,Overwash_Matrix!BS:BS,1))</f>
        <v/>
      </c>
      <c r="BN19" s="53" t="str">
        <f>IF(COUNTIF(Overwash_Matrix!$C:$C,1999)=0,"",COUNTIFS(Overwash_Matrix!$C:$C,1999,Overwash_Matrix!BT:BT,1))</f>
        <v/>
      </c>
      <c r="BO19" s="53" t="str">
        <f>IF(COUNTIF(Overwash_Matrix!$C:$C,1999)=0,"",COUNTIFS(Overwash_Matrix!$C:$C,1999,Overwash_Matrix!BU:BU,1))</f>
        <v/>
      </c>
      <c r="BP19" s="53" t="str">
        <f>IF(COUNTIF(Overwash_Matrix!$C:$C,1999)=0,"",COUNTIFS(Overwash_Matrix!$C:$C,1999,Overwash_Matrix!BV:BV,1))</f>
        <v/>
      </c>
      <c r="BQ19" s="53" t="str">
        <f>IF(COUNTIF(Overwash_Matrix!$C:$C,1999)=0,"",COUNTIFS(Overwash_Matrix!$C:$C,1999,Overwash_Matrix!BW:BW,1))</f>
        <v/>
      </c>
      <c r="BR19" s="53" t="str">
        <f>IF(COUNTIF(Overwash_Matrix!$C:$C,1999)=0,"",COUNTIFS(Overwash_Matrix!$C:$C,1999,Overwash_Matrix!BX:BX,1))</f>
        <v/>
      </c>
      <c r="BS19" s="53" t="str">
        <f>IF(COUNTIF(Overwash_Matrix!$C:$C,1999)=0,"",COUNTIFS(Overwash_Matrix!$C:$C,1999,Overwash_Matrix!BY:BY,1))</f>
        <v/>
      </c>
      <c r="BT19" s="53" t="str">
        <f>IF(COUNTIF(Overwash_Matrix!$C:$C,1999)=0,"",COUNTIFS(Overwash_Matrix!$C:$C,1999,Overwash_Matrix!BZ:BZ,1))</f>
        <v/>
      </c>
      <c r="BU19" s="53" t="str">
        <f>IF(COUNTIF(Overwash_Matrix!$C:$C,1999)=0,"",COUNTIFS(Overwash_Matrix!$C:$C,1999,Overwash_Matrix!CA:CA,1))</f>
        <v/>
      </c>
      <c r="BV19" s="53" t="str">
        <f>IF(COUNTIF(Overwash_Matrix!$C:$C,1999)=0,"",COUNTIFS(Overwash_Matrix!$C:$C,1999,Overwash_Matrix!CB:CB,1))</f>
        <v/>
      </c>
      <c r="BW19" s="53" t="str">
        <f>IF(COUNTIF(Overwash_Matrix!$C:$C,1999)=0,"",COUNTIFS(Overwash_Matrix!$C:$C,1999,Overwash_Matrix!CC:CC,1))</f>
        <v/>
      </c>
      <c r="BX19" s="53" t="str">
        <f>IF(COUNTIF(Overwash_Matrix!$C:$C,1999)=0,"",COUNTIFS(Overwash_Matrix!$C:$C,1999,Overwash_Matrix!CD:CD,1))</f>
        <v/>
      </c>
      <c r="BY19" s="53" t="str">
        <f>IF(COUNTIF(Overwash_Matrix!$C:$C,1999)=0,"",COUNTIFS(Overwash_Matrix!$C:$C,1999,Overwash_Matrix!CE:CE,1))</f>
        <v/>
      </c>
      <c r="BZ19" s="53" t="str">
        <f>IF(COUNTIF(Overwash_Matrix!$C:$C,1999)=0,"",COUNTIFS(Overwash_Matrix!$C:$C,1999,Overwash_Matrix!CF:CF,1))</f>
        <v/>
      </c>
      <c r="CA19" s="53" t="str">
        <f>IF(COUNTIF(Overwash_Matrix!$C:$C,1999)=0,"",COUNTIFS(Overwash_Matrix!$C:$C,1999,Overwash_Matrix!CG:CG,1))</f>
        <v/>
      </c>
      <c r="CB19" s="53" t="str">
        <f>IF(COUNTIF(Overwash_Matrix!$C:$C,1999)=0,"",COUNTIFS(Overwash_Matrix!$C:$C,1999,Overwash_Matrix!CH:CH,1))</f>
        <v/>
      </c>
      <c r="CC19" s="53" t="str">
        <f>IF(COUNTIF(Overwash_Matrix!$C:$C,1999)=0,"",COUNTIFS(Overwash_Matrix!$C:$C,1999,Overwash_Matrix!CI:CI,1))</f>
        <v/>
      </c>
      <c r="CD19" s="53" t="str">
        <f>IF(COUNTIF(Overwash_Matrix!$C:$C,1999)=0,"",COUNTIFS(Overwash_Matrix!$C:$C,1999,Overwash_Matrix!CJ:CJ,1))</f>
        <v/>
      </c>
      <c r="CE19" s="53" t="str">
        <f>IF(COUNTIF(Overwash_Matrix!$C:$C,1999)=0,"",COUNTIFS(Overwash_Matrix!$C:$C,1999,Overwash_Matrix!CK:CK,1))</f>
        <v/>
      </c>
      <c r="CF19" s="53" t="str">
        <f>IF(COUNTIF(Overwash_Matrix!$C:$C,1999)=0,"",COUNTIFS(Overwash_Matrix!$C:$C,1999,Overwash_Matrix!CL:CL,1))</f>
        <v/>
      </c>
      <c r="CG19" s="53" t="str">
        <f>IF(COUNTIF(Overwash_Matrix!$C:$C,1999)=0,"",COUNTIFS(Overwash_Matrix!$C:$C,1999,Overwash_Matrix!CM:CM,1))</f>
        <v/>
      </c>
      <c r="CH19" s="53" t="str">
        <f>IF(COUNTIF(Overwash_Matrix!$C:$C,1999)=0,"",COUNTIFS(Overwash_Matrix!$C:$C,1999,Overwash_Matrix!CN:CN,1))</f>
        <v/>
      </c>
      <c r="CI19" s="53" t="str">
        <f>IF(COUNTIF(Overwash_Matrix!$C:$C,1999)=0,"",COUNTIFS(Overwash_Matrix!$C:$C,1999,Overwash_Matrix!CO:CO,1))</f>
        <v/>
      </c>
      <c r="CJ19" s="53" t="str">
        <f>IF(COUNTIF(Overwash_Matrix!$C:$C,1999)=0,"",COUNTIFS(Overwash_Matrix!$C:$C,1999,Overwash_Matrix!CP:CP,1))</f>
        <v/>
      </c>
      <c r="CK19" s="53" t="str">
        <f>IF(COUNTIF(Overwash_Matrix!$C:$C,1999)=0,"",COUNTIFS(Overwash_Matrix!$C:$C,1999,Overwash_Matrix!CQ:CQ,1))</f>
        <v/>
      </c>
      <c r="CL19" s="53" t="str">
        <f>IF(COUNTIF(Overwash_Matrix!$C:$C,1999)=0,"",COUNTIFS(Overwash_Matrix!$C:$C,1999,Overwash_Matrix!CR:CR,1))</f>
        <v/>
      </c>
      <c r="CM19" s="53" t="str">
        <f>IF(COUNTIF(Overwash_Matrix!$C:$C,1999)=0,"",COUNTIFS(Overwash_Matrix!$C:$C,1999,Overwash_Matrix!CS:CS,1))</f>
        <v/>
      </c>
      <c r="CN19" s="53" t="str">
        <f>IF(COUNTIF(Overwash_Matrix!$C:$C,1999)=0,"",COUNTIFS(Overwash_Matrix!$C:$C,1999,Overwash_Matrix!CT:CT,1))</f>
        <v/>
      </c>
    </row>
    <row r="20" ht="13.5" customHeight="1">
      <c r="A20" s="86">
        <v>2000.0</v>
      </c>
      <c r="B20" s="87">
        <f>COUNTIF(Overwash_Matrix!$C:$C,2000)</f>
        <v>0</v>
      </c>
      <c r="C20" s="57" t="str">
        <f>IF(COUNTIF(Overwash_Matrix!$C:$C,2000)=0,"",COUNTIFS(Overwash_Matrix!$C:$C,2000,Overwash_Matrix!I:I,1))</f>
        <v/>
      </c>
      <c r="D20" s="57" t="str">
        <f>IF(COUNTIF(Overwash_Matrix!$C:$C,2000)=0,"",COUNTIFS(Overwash_Matrix!$C:$C,2000,Overwash_Matrix!J:J,1))</f>
        <v/>
      </c>
      <c r="E20" s="57" t="str">
        <f>IF(COUNTIF(Overwash_Matrix!$C:$C,2000)=0,"",COUNTIFS(Overwash_Matrix!$C:$C,2000,Overwash_Matrix!K:K,1))</f>
        <v/>
      </c>
      <c r="F20" s="57" t="str">
        <f>IF(COUNTIF(Overwash_Matrix!$C:$C,2000)=0,"",COUNTIFS(Overwash_Matrix!$C:$C,2000,Overwash_Matrix!L:L,1))</f>
        <v/>
      </c>
      <c r="G20" s="57" t="str">
        <f>IF(COUNTIF(Overwash_Matrix!$C:$C,2000)=0,"",COUNTIFS(Overwash_Matrix!$C:$C,2000,Overwash_Matrix!M:M,1))</f>
        <v/>
      </c>
      <c r="H20" s="57" t="str">
        <f>IF(COUNTIF(Overwash_Matrix!$C:$C,2000)=0,"",COUNTIFS(Overwash_Matrix!$C:$C,2000,Overwash_Matrix!N:N,1))</f>
        <v/>
      </c>
      <c r="I20" s="57" t="str">
        <f>IF(COUNTIF(Overwash_Matrix!$C:$C,2000)=0,"",COUNTIFS(Overwash_Matrix!$C:$C,2000,Overwash_Matrix!O:O,1))</f>
        <v/>
      </c>
      <c r="J20" s="57" t="str">
        <f>IF(COUNTIF(Overwash_Matrix!$C:$C,2000)=0,"",COUNTIFS(Overwash_Matrix!$C:$C,2000,Overwash_Matrix!P:P,1))</f>
        <v/>
      </c>
      <c r="K20" s="57" t="str">
        <f>IF(COUNTIF(Overwash_Matrix!$C:$C,2000)=0,"",COUNTIFS(Overwash_Matrix!$C:$C,2000,Overwash_Matrix!Q:Q,1))</f>
        <v/>
      </c>
      <c r="L20" s="57" t="str">
        <f>IF(COUNTIF(Overwash_Matrix!$C:$C,2000)=0,"",COUNTIFS(Overwash_Matrix!$C:$C,2000,Overwash_Matrix!R:R,1))</f>
        <v/>
      </c>
      <c r="M20" s="57" t="str">
        <f>IF(COUNTIF(Overwash_Matrix!$C:$C,2000)=0,"",COUNTIFS(Overwash_Matrix!$C:$C,2000,Overwash_Matrix!S:S,1))</f>
        <v/>
      </c>
      <c r="N20" s="57" t="str">
        <f>IF(COUNTIF(Overwash_Matrix!$C:$C,2000)=0,"",COUNTIFS(Overwash_Matrix!$C:$C,2000,Overwash_Matrix!T:T,1))</f>
        <v/>
      </c>
      <c r="O20" s="57" t="str">
        <f>IF(COUNTIF(Overwash_Matrix!$C:$C,2000)=0,"",COUNTIFS(Overwash_Matrix!$C:$C,2000,Overwash_Matrix!U:U,1))</f>
        <v/>
      </c>
      <c r="P20" s="57" t="str">
        <f>IF(COUNTIF(Overwash_Matrix!$C:$C,2000)=0,"",COUNTIFS(Overwash_Matrix!$C:$C,2000,Overwash_Matrix!V:V,1))</f>
        <v/>
      </c>
      <c r="Q20" s="57" t="str">
        <f>IF(COUNTIF(Overwash_Matrix!$C:$C,2000)=0,"",COUNTIFS(Overwash_Matrix!$C:$C,2000,Overwash_Matrix!W:W,1))</f>
        <v/>
      </c>
      <c r="R20" s="57" t="str">
        <f>IF(COUNTIF(Overwash_Matrix!$C:$C,2000)=0,"",COUNTIFS(Overwash_Matrix!$C:$C,2000,Overwash_Matrix!X:X,1))</f>
        <v/>
      </c>
      <c r="S20" s="57" t="str">
        <f>IF(COUNTIF(Overwash_Matrix!$C:$C,2000)=0,"",COUNTIFS(Overwash_Matrix!$C:$C,2000,Overwash_Matrix!Y:Y,1))</f>
        <v/>
      </c>
      <c r="T20" s="57" t="str">
        <f>IF(COUNTIF(Overwash_Matrix!$C:$C,2000)=0,"",COUNTIFS(Overwash_Matrix!$C:$C,2000,Overwash_Matrix!Z:Z,1))</f>
        <v/>
      </c>
      <c r="U20" s="57" t="str">
        <f>IF(COUNTIF(Overwash_Matrix!$C:$C,2000)=0,"",COUNTIFS(Overwash_Matrix!$C:$C,2000,Overwash_Matrix!AA:AA,1))</f>
        <v/>
      </c>
      <c r="V20" s="57" t="str">
        <f>IF(COUNTIF(Overwash_Matrix!$C:$C,2000)=0,"",COUNTIFS(Overwash_Matrix!$C:$C,2000,Overwash_Matrix!AB:AB,1))</f>
        <v/>
      </c>
      <c r="W20" s="57" t="str">
        <f>IF(COUNTIF(Overwash_Matrix!$C:$C,2000)=0,"",COUNTIFS(Overwash_Matrix!$C:$C,2000,Overwash_Matrix!AC:AC,1))</f>
        <v/>
      </c>
      <c r="X20" s="57" t="str">
        <f>IF(COUNTIF(Overwash_Matrix!$C:$C,2000)=0,"",COUNTIFS(Overwash_Matrix!$C:$C,2000,Overwash_Matrix!AD:AD,1))</f>
        <v/>
      </c>
      <c r="Y20" s="57" t="str">
        <f>IF(COUNTIF(Overwash_Matrix!$C:$C,2000)=0,"",COUNTIFS(Overwash_Matrix!$C:$C,2000,Overwash_Matrix!AE:AE,1))</f>
        <v/>
      </c>
      <c r="Z20" s="57" t="str">
        <f>IF(COUNTIF(Overwash_Matrix!$C:$C,2000)=0,"",COUNTIFS(Overwash_Matrix!$C:$C,2000,Overwash_Matrix!AF:AF,1))</f>
        <v/>
      </c>
      <c r="AA20" s="57" t="str">
        <f>IF(COUNTIF(Overwash_Matrix!$C:$C,2000)=0,"",COUNTIFS(Overwash_Matrix!$C:$C,2000,Overwash_Matrix!AG:AG,1))</f>
        <v/>
      </c>
      <c r="AB20" s="57" t="str">
        <f>IF(COUNTIF(Overwash_Matrix!$C:$C,2000)=0,"",COUNTIFS(Overwash_Matrix!$C:$C,2000,Overwash_Matrix!AH:AH,1))</f>
        <v/>
      </c>
      <c r="AC20" s="57" t="str">
        <f>IF(COUNTIF(Overwash_Matrix!$C:$C,2000)=0,"",COUNTIFS(Overwash_Matrix!$C:$C,2000,Overwash_Matrix!AI:AI,1))</f>
        <v/>
      </c>
      <c r="AD20" s="57" t="str">
        <f>IF(COUNTIF(Overwash_Matrix!$C:$C,2000)=0,"",COUNTIFS(Overwash_Matrix!$C:$C,2000,Overwash_Matrix!AJ:AJ,1))</f>
        <v/>
      </c>
      <c r="AE20" s="57" t="str">
        <f>IF(COUNTIF(Overwash_Matrix!$C:$C,2000)=0,"",COUNTIFS(Overwash_Matrix!$C:$C,2000,Overwash_Matrix!AK:AK,1))</f>
        <v/>
      </c>
      <c r="AF20" s="57" t="str">
        <f>IF(COUNTIF(Overwash_Matrix!$C:$C,2000)=0,"",COUNTIFS(Overwash_Matrix!$C:$C,2000,Overwash_Matrix!AL:AL,1))</f>
        <v/>
      </c>
      <c r="AG20" s="57" t="str">
        <f>IF(COUNTIF(Overwash_Matrix!$C:$C,2000)=0,"",COUNTIFS(Overwash_Matrix!$C:$C,2000,Overwash_Matrix!AM:AM,1))</f>
        <v/>
      </c>
      <c r="AH20" s="57" t="str">
        <f>IF(COUNTIF(Overwash_Matrix!$C:$C,2000)=0,"",COUNTIFS(Overwash_Matrix!$C:$C,2000,Overwash_Matrix!AN:AN,1))</f>
        <v/>
      </c>
      <c r="AI20" s="57" t="str">
        <f>IF(COUNTIF(Overwash_Matrix!$C:$C,2000)=0,"",COUNTIFS(Overwash_Matrix!$C:$C,2000,Overwash_Matrix!AO:AO,1))</f>
        <v/>
      </c>
      <c r="AJ20" s="57" t="str">
        <f>IF(COUNTIF(Overwash_Matrix!$C:$C,2000)=0,"",COUNTIFS(Overwash_Matrix!$C:$C,2000,Overwash_Matrix!AP:AP,1))</f>
        <v/>
      </c>
      <c r="AK20" s="57" t="str">
        <f>IF(COUNTIF(Overwash_Matrix!$C:$C,2000)=0,"",COUNTIFS(Overwash_Matrix!$C:$C,2000,Overwash_Matrix!AQ:AQ,1))</f>
        <v/>
      </c>
      <c r="AL20" s="57" t="str">
        <f>IF(COUNTIF(Overwash_Matrix!$C:$C,2000)=0,"",COUNTIFS(Overwash_Matrix!$C:$C,2000,Overwash_Matrix!AR:AR,1))</f>
        <v/>
      </c>
      <c r="AM20" s="57" t="str">
        <f>IF(COUNTIF(Overwash_Matrix!$C:$C,2000)=0,"",COUNTIFS(Overwash_Matrix!$C:$C,2000,Overwash_Matrix!AS:AS,1))</f>
        <v/>
      </c>
      <c r="AN20" s="57" t="str">
        <f>IF(COUNTIF(Overwash_Matrix!$C:$C,2000)=0,"",COUNTIFS(Overwash_Matrix!$C:$C,2000,Overwash_Matrix!AT:AT,1))</f>
        <v/>
      </c>
      <c r="AO20" s="57" t="str">
        <f>IF(COUNTIF(Overwash_Matrix!$C:$C,2000)=0,"",COUNTIFS(Overwash_Matrix!$C:$C,2000,Overwash_Matrix!AU:AU,1))</f>
        <v/>
      </c>
      <c r="AP20" s="57" t="str">
        <f>IF(COUNTIF(Overwash_Matrix!$C:$C,2000)=0,"",COUNTIFS(Overwash_Matrix!$C:$C,2000,Overwash_Matrix!AV:AV,1))</f>
        <v/>
      </c>
      <c r="AQ20" s="57" t="str">
        <f>IF(COUNTIF(Overwash_Matrix!$C:$C,2000)=0,"",COUNTIFS(Overwash_Matrix!$C:$C,2000,Overwash_Matrix!AW:AW,1))</f>
        <v/>
      </c>
      <c r="AR20" s="57" t="str">
        <f>IF(COUNTIF(Overwash_Matrix!$C:$C,2000)=0,"",COUNTIFS(Overwash_Matrix!$C:$C,2000,Overwash_Matrix!AX:AX,1))</f>
        <v/>
      </c>
      <c r="AS20" s="57" t="str">
        <f>IF(COUNTIF(Overwash_Matrix!$C:$C,2000)=0,"",COUNTIFS(Overwash_Matrix!$C:$C,2000,Overwash_Matrix!AY:AY,1))</f>
        <v/>
      </c>
      <c r="AT20" s="57" t="str">
        <f>IF(COUNTIF(Overwash_Matrix!$C:$C,2000)=0,"",COUNTIFS(Overwash_Matrix!$C:$C,2000,Overwash_Matrix!AZ:AZ,1))</f>
        <v/>
      </c>
      <c r="AU20" s="57" t="str">
        <f>IF(COUNTIF(Overwash_Matrix!$C:$C,2000)=0,"",COUNTIFS(Overwash_Matrix!$C:$C,2000,Overwash_Matrix!BA:BA,1))</f>
        <v/>
      </c>
      <c r="AV20" s="57" t="str">
        <f>IF(COUNTIF(Overwash_Matrix!$C:$C,2000)=0,"",COUNTIFS(Overwash_Matrix!$C:$C,2000,Overwash_Matrix!BB:BB,1))</f>
        <v/>
      </c>
      <c r="AW20" s="57" t="str">
        <f>IF(COUNTIF(Overwash_Matrix!$C:$C,2000)=0,"",COUNTIFS(Overwash_Matrix!$C:$C,2000,Overwash_Matrix!BC:BC,1))</f>
        <v/>
      </c>
      <c r="AX20" s="57" t="str">
        <f>IF(COUNTIF(Overwash_Matrix!$C:$C,2000)=0,"",COUNTIFS(Overwash_Matrix!$C:$C,2000,Overwash_Matrix!BD:BD,1))</f>
        <v/>
      </c>
      <c r="AY20" s="57" t="str">
        <f>IF(COUNTIF(Overwash_Matrix!$C:$C,2000)=0,"",COUNTIFS(Overwash_Matrix!$C:$C,2000,Overwash_Matrix!BE:BE,1))</f>
        <v/>
      </c>
      <c r="AZ20" s="57" t="str">
        <f>IF(COUNTIF(Overwash_Matrix!$C:$C,2000)=0,"",COUNTIFS(Overwash_Matrix!$C:$C,2000,Overwash_Matrix!BF:BF,1))</f>
        <v/>
      </c>
      <c r="BA20" s="57" t="str">
        <f>IF(COUNTIF(Overwash_Matrix!$C:$C,2000)=0,"",COUNTIFS(Overwash_Matrix!$C:$C,2000,Overwash_Matrix!BG:BG,1))</f>
        <v/>
      </c>
      <c r="BB20" s="57" t="str">
        <f>IF(COUNTIF(Overwash_Matrix!$C:$C,2000)=0,"",COUNTIFS(Overwash_Matrix!$C:$C,2000,Overwash_Matrix!BH:BH,1))</f>
        <v/>
      </c>
      <c r="BC20" s="57" t="str">
        <f>IF(COUNTIF(Overwash_Matrix!$C:$C,2000)=0,"",COUNTIFS(Overwash_Matrix!$C:$C,2000,Overwash_Matrix!BI:BI,1))</f>
        <v/>
      </c>
      <c r="BD20" s="57" t="str">
        <f>IF(COUNTIF(Overwash_Matrix!$C:$C,2000)=0,"",COUNTIFS(Overwash_Matrix!$C:$C,2000,Overwash_Matrix!BJ:BJ,1))</f>
        <v/>
      </c>
      <c r="BE20" s="57" t="str">
        <f>IF(COUNTIF(Overwash_Matrix!$C:$C,2000)=0,"",COUNTIFS(Overwash_Matrix!$C:$C,2000,Overwash_Matrix!BK:BK,1))</f>
        <v/>
      </c>
      <c r="BF20" s="57" t="str">
        <f>IF(COUNTIF(Overwash_Matrix!$C:$C,2000)=0,"",COUNTIFS(Overwash_Matrix!$C:$C,2000,Overwash_Matrix!BL:BL,1))</f>
        <v/>
      </c>
      <c r="BG20" s="57" t="str">
        <f>IF(COUNTIF(Overwash_Matrix!$C:$C,2000)=0,"",COUNTIFS(Overwash_Matrix!$C:$C,2000,Overwash_Matrix!BM:BM,1))</f>
        <v/>
      </c>
      <c r="BH20" s="57" t="str">
        <f>IF(COUNTIF(Overwash_Matrix!$C:$C,2000)=0,"",COUNTIFS(Overwash_Matrix!$C:$C,2000,Overwash_Matrix!BN:BN,1))</f>
        <v/>
      </c>
      <c r="BI20" s="57" t="str">
        <f>IF(COUNTIF(Overwash_Matrix!$C:$C,2000)=0,"",COUNTIFS(Overwash_Matrix!$C:$C,2000,Overwash_Matrix!BO:BO,1))</f>
        <v/>
      </c>
      <c r="BJ20" s="57" t="str">
        <f>IF(COUNTIF(Overwash_Matrix!$C:$C,2000)=0,"",COUNTIFS(Overwash_Matrix!$C:$C,2000,Overwash_Matrix!BP:BP,1))</f>
        <v/>
      </c>
      <c r="BK20" s="57" t="str">
        <f>IF(COUNTIF(Overwash_Matrix!$C:$C,2000)=0,"",COUNTIFS(Overwash_Matrix!$C:$C,2000,Overwash_Matrix!BQ:BQ,1))</f>
        <v/>
      </c>
      <c r="BL20" s="57" t="str">
        <f>IF(COUNTIF(Overwash_Matrix!$C:$C,2000)=0,"",COUNTIFS(Overwash_Matrix!$C:$C,2000,Overwash_Matrix!BR:BR,1))</f>
        <v/>
      </c>
      <c r="BM20" s="57" t="str">
        <f>IF(COUNTIF(Overwash_Matrix!$C:$C,2000)=0,"",COUNTIFS(Overwash_Matrix!$C:$C,2000,Overwash_Matrix!BS:BS,1))</f>
        <v/>
      </c>
      <c r="BN20" s="57" t="str">
        <f>IF(COUNTIF(Overwash_Matrix!$C:$C,2000)=0,"",COUNTIFS(Overwash_Matrix!$C:$C,2000,Overwash_Matrix!BT:BT,1))</f>
        <v/>
      </c>
      <c r="BO20" s="57" t="str">
        <f>IF(COUNTIF(Overwash_Matrix!$C:$C,2000)=0,"",COUNTIFS(Overwash_Matrix!$C:$C,2000,Overwash_Matrix!BU:BU,1))</f>
        <v/>
      </c>
      <c r="BP20" s="57" t="str">
        <f>IF(COUNTIF(Overwash_Matrix!$C:$C,2000)=0,"",COUNTIFS(Overwash_Matrix!$C:$C,2000,Overwash_Matrix!BV:BV,1))</f>
        <v/>
      </c>
      <c r="BQ20" s="57" t="str">
        <f>IF(COUNTIF(Overwash_Matrix!$C:$C,2000)=0,"",COUNTIFS(Overwash_Matrix!$C:$C,2000,Overwash_Matrix!BW:BW,1))</f>
        <v/>
      </c>
      <c r="BR20" s="57" t="str">
        <f>IF(COUNTIF(Overwash_Matrix!$C:$C,2000)=0,"",COUNTIFS(Overwash_Matrix!$C:$C,2000,Overwash_Matrix!BX:BX,1))</f>
        <v/>
      </c>
      <c r="BS20" s="57" t="str">
        <f>IF(COUNTIF(Overwash_Matrix!$C:$C,2000)=0,"",COUNTIFS(Overwash_Matrix!$C:$C,2000,Overwash_Matrix!BY:BY,1))</f>
        <v/>
      </c>
      <c r="BT20" s="57" t="str">
        <f>IF(COUNTIF(Overwash_Matrix!$C:$C,2000)=0,"",COUNTIFS(Overwash_Matrix!$C:$C,2000,Overwash_Matrix!BZ:BZ,1))</f>
        <v/>
      </c>
      <c r="BU20" s="57" t="str">
        <f>IF(COUNTIF(Overwash_Matrix!$C:$C,2000)=0,"",COUNTIFS(Overwash_Matrix!$C:$C,2000,Overwash_Matrix!CA:CA,1))</f>
        <v/>
      </c>
      <c r="BV20" s="57" t="str">
        <f>IF(COUNTIF(Overwash_Matrix!$C:$C,2000)=0,"",COUNTIFS(Overwash_Matrix!$C:$C,2000,Overwash_Matrix!CB:CB,1))</f>
        <v/>
      </c>
      <c r="BW20" s="57" t="str">
        <f>IF(COUNTIF(Overwash_Matrix!$C:$C,2000)=0,"",COUNTIFS(Overwash_Matrix!$C:$C,2000,Overwash_Matrix!CC:CC,1))</f>
        <v/>
      </c>
      <c r="BX20" s="57" t="str">
        <f>IF(COUNTIF(Overwash_Matrix!$C:$C,2000)=0,"",COUNTIFS(Overwash_Matrix!$C:$C,2000,Overwash_Matrix!CD:CD,1))</f>
        <v/>
      </c>
      <c r="BY20" s="57" t="str">
        <f>IF(COUNTIF(Overwash_Matrix!$C:$C,2000)=0,"",COUNTIFS(Overwash_Matrix!$C:$C,2000,Overwash_Matrix!CE:CE,1))</f>
        <v/>
      </c>
      <c r="BZ20" s="57" t="str">
        <f>IF(COUNTIF(Overwash_Matrix!$C:$C,2000)=0,"",COUNTIFS(Overwash_Matrix!$C:$C,2000,Overwash_Matrix!CF:CF,1))</f>
        <v/>
      </c>
      <c r="CA20" s="57" t="str">
        <f>IF(COUNTIF(Overwash_Matrix!$C:$C,2000)=0,"",COUNTIFS(Overwash_Matrix!$C:$C,2000,Overwash_Matrix!CG:CG,1))</f>
        <v/>
      </c>
      <c r="CB20" s="57" t="str">
        <f>IF(COUNTIF(Overwash_Matrix!$C:$C,2000)=0,"",COUNTIFS(Overwash_Matrix!$C:$C,2000,Overwash_Matrix!CH:CH,1))</f>
        <v/>
      </c>
      <c r="CC20" s="57" t="str">
        <f>IF(COUNTIF(Overwash_Matrix!$C:$C,2000)=0,"",COUNTIFS(Overwash_Matrix!$C:$C,2000,Overwash_Matrix!CI:CI,1))</f>
        <v/>
      </c>
      <c r="CD20" s="57" t="str">
        <f>IF(COUNTIF(Overwash_Matrix!$C:$C,2000)=0,"",COUNTIFS(Overwash_Matrix!$C:$C,2000,Overwash_Matrix!CJ:CJ,1))</f>
        <v/>
      </c>
      <c r="CE20" s="57" t="str">
        <f>IF(COUNTIF(Overwash_Matrix!$C:$C,2000)=0,"",COUNTIFS(Overwash_Matrix!$C:$C,2000,Overwash_Matrix!CK:CK,1))</f>
        <v/>
      </c>
      <c r="CF20" s="57" t="str">
        <f>IF(COUNTIF(Overwash_Matrix!$C:$C,2000)=0,"",COUNTIFS(Overwash_Matrix!$C:$C,2000,Overwash_Matrix!CL:CL,1))</f>
        <v/>
      </c>
      <c r="CG20" s="57" t="str">
        <f>IF(COUNTIF(Overwash_Matrix!$C:$C,2000)=0,"",COUNTIFS(Overwash_Matrix!$C:$C,2000,Overwash_Matrix!CM:CM,1))</f>
        <v/>
      </c>
      <c r="CH20" s="57" t="str">
        <f>IF(COUNTIF(Overwash_Matrix!$C:$C,2000)=0,"",COUNTIFS(Overwash_Matrix!$C:$C,2000,Overwash_Matrix!CN:CN,1))</f>
        <v/>
      </c>
      <c r="CI20" s="57" t="str">
        <f>IF(COUNTIF(Overwash_Matrix!$C:$C,2000)=0,"",COUNTIFS(Overwash_Matrix!$C:$C,2000,Overwash_Matrix!CO:CO,1))</f>
        <v/>
      </c>
      <c r="CJ20" s="57" t="str">
        <f>IF(COUNTIF(Overwash_Matrix!$C:$C,2000)=0,"",COUNTIFS(Overwash_Matrix!$C:$C,2000,Overwash_Matrix!CP:CP,1))</f>
        <v/>
      </c>
      <c r="CK20" s="57" t="str">
        <f>IF(COUNTIF(Overwash_Matrix!$C:$C,2000)=0,"",COUNTIFS(Overwash_Matrix!$C:$C,2000,Overwash_Matrix!CQ:CQ,1))</f>
        <v/>
      </c>
      <c r="CL20" s="57" t="str">
        <f>IF(COUNTIF(Overwash_Matrix!$C:$C,2000)=0,"",COUNTIFS(Overwash_Matrix!$C:$C,2000,Overwash_Matrix!CR:CR,1))</f>
        <v/>
      </c>
      <c r="CM20" s="57" t="str">
        <f>IF(COUNTIF(Overwash_Matrix!$C:$C,2000)=0,"",COUNTIFS(Overwash_Matrix!$C:$C,2000,Overwash_Matrix!CS:CS,1))</f>
        <v/>
      </c>
      <c r="CN20" s="57" t="str">
        <f>IF(COUNTIF(Overwash_Matrix!$C:$C,2000)=0,"",COUNTIFS(Overwash_Matrix!$C:$C,2000,Overwash_Matrix!CT:CT,1))</f>
        <v/>
      </c>
    </row>
    <row r="21" ht="13.5" customHeight="1">
      <c r="A21" s="88">
        <v>2001.0</v>
      </c>
      <c r="B21" s="89">
        <f>COUNTIF(Overwash_Matrix!$C:$C,2001)</f>
        <v>0</v>
      </c>
      <c r="C21" s="53" t="str">
        <f>IF(COUNTIF(Overwash_Matrix!$C:$C,2001)=0,"",COUNTIFS(Overwash_Matrix!$C:$C,2001,Overwash_Matrix!I:I,1))</f>
        <v/>
      </c>
      <c r="D21" s="53" t="str">
        <f>IF(COUNTIF(Overwash_Matrix!$C:$C,2001)=0,"",COUNTIFS(Overwash_Matrix!$C:$C,2001,Overwash_Matrix!J:J,1))</f>
        <v/>
      </c>
      <c r="E21" s="53" t="str">
        <f>IF(COUNTIF(Overwash_Matrix!$C:$C,2001)=0,"",COUNTIFS(Overwash_Matrix!$C:$C,2001,Overwash_Matrix!K:K,1))</f>
        <v/>
      </c>
      <c r="F21" s="53" t="str">
        <f>IF(COUNTIF(Overwash_Matrix!$C:$C,2001)=0,"",COUNTIFS(Overwash_Matrix!$C:$C,2001,Overwash_Matrix!L:L,1))</f>
        <v/>
      </c>
      <c r="G21" s="53" t="str">
        <f>IF(COUNTIF(Overwash_Matrix!$C:$C,2001)=0,"",COUNTIFS(Overwash_Matrix!$C:$C,2001,Overwash_Matrix!M:M,1))</f>
        <v/>
      </c>
      <c r="H21" s="53" t="str">
        <f>IF(COUNTIF(Overwash_Matrix!$C:$C,2001)=0,"",COUNTIFS(Overwash_Matrix!$C:$C,2001,Overwash_Matrix!N:N,1))</f>
        <v/>
      </c>
      <c r="I21" s="53" t="str">
        <f>IF(COUNTIF(Overwash_Matrix!$C:$C,2001)=0,"",COUNTIFS(Overwash_Matrix!$C:$C,2001,Overwash_Matrix!O:O,1))</f>
        <v/>
      </c>
      <c r="J21" s="53" t="str">
        <f>IF(COUNTIF(Overwash_Matrix!$C:$C,2001)=0,"",COUNTIFS(Overwash_Matrix!$C:$C,2001,Overwash_Matrix!P:P,1))</f>
        <v/>
      </c>
      <c r="K21" s="53" t="str">
        <f>IF(COUNTIF(Overwash_Matrix!$C:$C,2001)=0,"",COUNTIFS(Overwash_Matrix!$C:$C,2001,Overwash_Matrix!Q:Q,1))</f>
        <v/>
      </c>
      <c r="L21" s="53" t="str">
        <f>IF(COUNTIF(Overwash_Matrix!$C:$C,2001)=0,"",COUNTIFS(Overwash_Matrix!$C:$C,2001,Overwash_Matrix!R:R,1))</f>
        <v/>
      </c>
      <c r="M21" s="53" t="str">
        <f>IF(COUNTIF(Overwash_Matrix!$C:$C,2001)=0,"",COUNTIFS(Overwash_Matrix!$C:$C,2001,Overwash_Matrix!S:S,1))</f>
        <v/>
      </c>
      <c r="N21" s="53" t="str">
        <f>IF(COUNTIF(Overwash_Matrix!$C:$C,2001)=0,"",COUNTIFS(Overwash_Matrix!$C:$C,2001,Overwash_Matrix!T:T,1))</f>
        <v/>
      </c>
      <c r="O21" s="53" t="str">
        <f>IF(COUNTIF(Overwash_Matrix!$C:$C,2001)=0,"",COUNTIFS(Overwash_Matrix!$C:$C,2001,Overwash_Matrix!U:U,1))</f>
        <v/>
      </c>
      <c r="P21" s="53" t="str">
        <f>IF(COUNTIF(Overwash_Matrix!$C:$C,2001)=0,"",COUNTIFS(Overwash_Matrix!$C:$C,2001,Overwash_Matrix!V:V,1))</f>
        <v/>
      </c>
      <c r="Q21" s="53" t="str">
        <f>IF(COUNTIF(Overwash_Matrix!$C:$C,2001)=0,"",COUNTIFS(Overwash_Matrix!$C:$C,2001,Overwash_Matrix!W:W,1))</f>
        <v/>
      </c>
      <c r="R21" s="53" t="str">
        <f>IF(COUNTIF(Overwash_Matrix!$C:$C,2001)=0,"",COUNTIFS(Overwash_Matrix!$C:$C,2001,Overwash_Matrix!X:X,1))</f>
        <v/>
      </c>
      <c r="S21" s="53" t="str">
        <f>IF(COUNTIF(Overwash_Matrix!$C:$C,2001)=0,"",COUNTIFS(Overwash_Matrix!$C:$C,2001,Overwash_Matrix!Y:Y,1))</f>
        <v/>
      </c>
      <c r="T21" s="53" t="str">
        <f>IF(COUNTIF(Overwash_Matrix!$C:$C,2001)=0,"",COUNTIFS(Overwash_Matrix!$C:$C,2001,Overwash_Matrix!Z:Z,1))</f>
        <v/>
      </c>
      <c r="U21" s="53" t="str">
        <f>IF(COUNTIF(Overwash_Matrix!$C:$C,2001)=0,"",COUNTIFS(Overwash_Matrix!$C:$C,2001,Overwash_Matrix!AA:AA,1))</f>
        <v/>
      </c>
      <c r="V21" s="53" t="str">
        <f>IF(COUNTIF(Overwash_Matrix!$C:$C,2001)=0,"",COUNTIFS(Overwash_Matrix!$C:$C,2001,Overwash_Matrix!AB:AB,1))</f>
        <v/>
      </c>
      <c r="W21" s="53" t="str">
        <f>IF(COUNTIF(Overwash_Matrix!$C:$C,2001)=0,"",COUNTIFS(Overwash_Matrix!$C:$C,2001,Overwash_Matrix!AC:AC,1))</f>
        <v/>
      </c>
      <c r="X21" s="53" t="str">
        <f>IF(COUNTIF(Overwash_Matrix!$C:$C,2001)=0,"",COUNTIFS(Overwash_Matrix!$C:$C,2001,Overwash_Matrix!AD:AD,1))</f>
        <v/>
      </c>
      <c r="Y21" s="53" t="str">
        <f>IF(COUNTIF(Overwash_Matrix!$C:$C,2001)=0,"",COUNTIFS(Overwash_Matrix!$C:$C,2001,Overwash_Matrix!AE:AE,1))</f>
        <v/>
      </c>
      <c r="Z21" s="53" t="str">
        <f>IF(COUNTIF(Overwash_Matrix!$C:$C,2001)=0,"",COUNTIFS(Overwash_Matrix!$C:$C,2001,Overwash_Matrix!AF:AF,1))</f>
        <v/>
      </c>
      <c r="AA21" s="53" t="str">
        <f>IF(COUNTIF(Overwash_Matrix!$C:$C,2001)=0,"",COUNTIFS(Overwash_Matrix!$C:$C,2001,Overwash_Matrix!AG:AG,1))</f>
        <v/>
      </c>
      <c r="AB21" s="53" t="str">
        <f>IF(COUNTIF(Overwash_Matrix!$C:$C,2001)=0,"",COUNTIFS(Overwash_Matrix!$C:$C,2001,Overwash_Matrix!AH:AH,1))</f>
        <v/>
      </c>
      <c r="AC21" s="53" t="str">
        <f>IF(COUNTIF(Overwash_Matrix!$C:$C,2001)=0,"",COUNTIFS(Overwash_Matrix!$C:$C,2001,Overwash_Matrix!AI:AI,1))</f>
        <v/>
      </c>
      <c r="AD21" s="53" t="str">
        <f>IF(COUNTIF(Overwash_Matrix!$C:$C,2001)=0,"",COUNTIFS(Overwash_Matrix!$C:$C,2001,Overwash_Matrix!AJ:AJ,1))</f>
        <v/>
      </c>
      <c r="AE21" s="53" t="str">
        <f>IF(COUNTIF(Overwash_Matrix!$C:$C,2001)=0,"",COUNTIFS(Overwash_Matrix!$C:$C,2001,Overwash_Matrix!AK:AK,1))</f>
        <v/>
      </c>
      <c r="AF21" s="53" t="str">
        <f>IF(COUNTIF(Overwash_Matrix!$C:$C,2001)=0,"",COUNTIFS(Overwash_Matrix!$C:$C,2001,Overwash_Matrix!AL:AL,1))</f>
        <v/>
      </c>
      <c r="AG21" s="53" t="str">
        <f>IF(COUNTIF(Overwash_Matrix!$C:$C,2001)=0,"",COUNTIFS(Overwash_Matrix!$C:$C,2001,Overwash_Matrix!AM:AM,1))</f>
        <v/>
      </c>
      <c r="AH21" s="53" t="str">
        <f>IF(COUNTIF(Overwash_Matrix!$C:$C,2001)=0,"",COUNTIFS(Overwash_Matrix!$C:$C,2001,Overwash_Matrix!AN:AN,1))</f>
        <v/>
      </c>
      <c r="AI21" s="53" t="str">
        <f>IF(COUNTIF(Overwash_Matrix!$C:$C,2001)=0,"",COUNTIFS(Overwash_Matrix!$C:$C,2001,Overwash_Matrix!AO:AO,1))</f>
        <v/>
      </c>
      <c r="AJ21" s="53" t="str">
        <f>IF(COUNTIF(Overwash_Matrix!$C:$C,2001)=0,"",COUNTIFS(Overwash_Matrix!$C:$C,2001,Overwash_Matrix!AP:AP,1))</f>
        <v/>
      </c>
      <c r="AK21" s="53" t="str">
        <f>IF(COUNTIF(Overwash_Matrix!$C:$C,2001)=0,"",COUNTIFS(Overwash_Matrix!$C:$C,2001,Overwash_Matrix!AQ:AQ,1))</f>
        <v/>
      </c>
      <c r="AL21" s="53" t="str">
        <f>IF(COUNTIF(Overwash_Matrix!$C:$C,2001)=0,"",COUNTIFS(Overwash_Matrix!$C:$C,2001,Overwash_Matrix!AR:AR,1))</f>
        <v/>
      </c>
      <c r="AM21" s="53" t="str">
        <f>IF(COUNTIF(Overwash_Matrix!$C:$C,2001)=0,"",COUNTIFS(Overwash_Matrix!$C:$C,2001,Overwash_Matrix!AS:AS,1))</f>
        <v/>
      </c>
      <c r="AN21" s="53" t="str">
        <f>IF(COUNTIF(Overwash_Matrix!$C:$C,2001)=0,"",COUNTIFS(Overwash_Matrix!$C:$C,2001,Overwash_Matrix!AT:AT,1))</f>
        <v/>
      </c>
      <c r="AO21" s="53" t="str">
        <f>IF(COUNTIF(Overwash_Matrix!$C:$C,2001)=0,"",COUNTIFS(Overwash_Matrix!$C:$C,2001,Overwash_Matrix!AU:AU,1))</f>
        <v/>
      </c>
      <c r="AP21" s="53" t="str">
        <f>IF(COUNTIF(Overwash_Matrix!$C:$C,2001)=0,"",COUNTIFS(Overwash_Matrix!$C:$C,2001,Overwash_Matrix!AV:AV,1))</f>
        <v/>
      </c>
      <c r="AQ21" s="53" t="str">
        <f>IF(COUNTIF(Overwash_Matrix!$C:$C,2001)=0,"",COUNTIFS(Overwash_Matrix!$C:$C,2001,Overwash_Matrix!AW:AW,1))</f>
        <v/>
      </c>
      <c r="AR21" s="53" t="str">
        <f>IF(COUNTIF(Overwash_Matrix!$C:$C,2001)=0,"",COUNTIFS(Overwash_Matrix!$C:$C,2001,Overwash_Matrix!AX:AX,1))</f>
        <v/>
      </c>
      <c r="AS21" s="53" t="str">
        <f>IF(COUNTIF(Overwash_Matrix!$C:$C,2001)=0,"",COUNTIFS(Overwash_Matrix!$C:$C,2001,Overwash_Matrix!AY:AY,1))</f>
        <v/>
      </c>
      <c r="AT21" s="53" t="str">
        <f>IF(COUNTIF(Overwash_Matrix!$C:$C,2001)=0,"",COUNTIFS(Overwash_Matrix!$C:$C,2001,Overwash_Matrix!AZ:AZ,1))</f>
        <v/>
      </c>
      <c r="AU21" s="53" t="str">
        <f>IF(COUNTIF(Overwash_Matrix!$C:$C,2001)=0,"",COUNTIFS(Overwash_Matrix!$C:$C,2001,Overwash_Matrix!BA:BA,1))</f>
        <v/>
      </c>
      <c r="AV21" s="53" t="str">
        <f>IF(COUNTIF(Overwash_Matrix!$C:$C,2001)=0,"",COUNTIFS(Overwash_Matrix!$C:$C,2001,Overwash_Matrix!BB:BB,1))</f>
        <v/>
      </c>
      <c r="AW21" s="53" t="str">
        <f>IF(COUNTIF(Overwash_Matrix!$C:$C,2001)=0,"",COUNTIFS(Overwash_Matrix!$C:$C,2001,Overwash_Matrix!BC:BC,1))</f>
        <v/>
      </c>
      <c r="AX21" s="53" t="str">
        <f>IF(COUNTIF(Overwash_Matrix!$C:$C,2001)=0,"",COUNTIFS(Overwash_Matrix!$C:$C,2001,Overwash_Matrix!BD:BD,1))</f>
        <v/>
      </c>
      <c r="AY21" s="53" t="str">
        <f>IF(COUNTIF(Overwash_Matrix!$C:$C,2001)=0,"",COUNTIFS(Overwash_Matrix!$C:$C,2001,Overwash_Matrix!BE:BE,1))</f>
        <v/>
      </c>
      <c r="AZ21" s="53" t="str">
        <f>IF(COUNTIF(Overwash_Matrix!$C:$C,2001)=0,"",COUNTIFS(Overwash_Matrix!$C:$C,2001,Overwash_Matrix!BF:BF,1))</f>
        <v/>
      </c>
      <c r="BA21" s="53" t="str">
        <f>IF(COUNTIF(Overwash_Matrix!$C:$C,2001)=0,"",COUNTIFS(Overwash_Matrix!$C:$C,2001,Overwash_Matrix!BG:BG,1))</f>
        <v/>
      </c>
      <c r="BB21" s="53" t="str">
        <f>IF(COUNTIF(Overwash_Matrix!$C:$C,2001)=0,"",COUNTIFS(Overwash_Matrix!$C:$C,2001,Overwash_Matrix!BH:BH,1))</f>
        <v/>
      </c>
      <c r="BC21" s="53" t="str">
        <f>IF(COUNTIF(Overwash_Matrix!$C:$C,2001)=0,"",COUNTIFS(Overwash_Matrix!$C:$C,2001,Overwash_Matrix!BI:BI,1))</f>
        <v/>
      </c>
      <c r="BD21" s="53" t="str">
        <f>IF(COUNTIF(Overwash_Matrix!$C:$C,2001)=0,"",COUNTIFS(Overwash_Matrix!$C:$C,2001,Overwash_Matrix!BJ:BJ,1))</f>
        <v/>
      </c>
      <c r="BE21" s="53" t="str">
        <f>IF(COUNTIF(Overwash_Matrix!$C:$C,2001)=0,"",COUNTIFS(Overwash_Matrix!$C:$C,2001,Overwash_Matrix!BK:BK,1))</f>
        <v/>
      </c>
      <c r="BF21" s="53" t="str">
        <f>IF(COUNTIF(Overwash_Matrix!$C:$C,2001)=0,"",COUNTIFS(Overwash_Matrix!$C:$C,2001,Overwash_Matrix!BL:BL,1))</f>
        <v/>
      </c>
      <c r="BG21" s="53" t="str">
        <f>IF(COUNTIF(Overwash_Matrix!$C:$C,2001)=0,"",COUNTIFS(Overwash_Matrix!$C:$C,2001,Overwash_Matrix!BM:BM,1))</f>
        <v/>
      </c>
      <c r="BH21" s="53" t="str">
        <f>IF(COUNTIF(Overwash_Matrix!$C:$C,2001)=0,"",COUNTIFS(Overwash_Matrix!$C:$C,2001,Overwash_Matrix!BN:BN,1))</f>
        <v/>
      </c>
      <c r="BI21" s="53" t="str">
        <f>IF(COUNTIF(Overwash_Matrix!$C:$C,2001)=0,"",COUNTIFS(Overwash_Matrix!$C:$C,2001,Overwash_Matrix!BO:BO,1))</f>
        <v/>
      </c>
      <c r="BJ21" s="53" t="str">
        <f>IF(COUNTIF(Overwash_Matrix!$C:$C,2001)=0,"",COUNTIFS(Overwash_Matrix!$C:$C,2001,Overwash_Matrix!BP:BP,1))</f>
        <v/>
      </c>
      <c r="BK21" s="53" t="str">
        <f>IF(COUNTIF(Overwash_Matrix!$C:$C,2001)=0,"",COUNTIFS(Overwash_Matrix!$C:$C,2001,Overwash_Matrix!BQ:BQ,1))</f>
        <v/>
      </c>
      <c r="BL21" s="53" t="str">
        <f>IF(COUNTIF(Overwash_Matrix!$C:$C,2001)=0,"",COUNTIFS(Overwash_Matrix!$C:$C,2001,Overwash_Matrix!BR:BR,1))</f>
        <v/>
      </c>
      <c r="BM21" s="53" t="str">
        <f>IF(COUNTIF(Overwash_Matrix!$C:$C,2001)=0,"",COUNTIFS(Overwash_Matrix!$C:$C,2001,Overwash_Matrix!BS:BS,1))</f>
        <v/>
      </c>
      <c r="BN21" s="53" t="str">
        <f>IF(COUNTIF(Overwash_Matrix!$C:$C,2001)=0,"",COUNTIFS(Overwash_Matrix!$C:$C,2001,Overwash_Matrix!BT:BT,1))</f>
        <v/>
      </c>
      <c r="BO21" s="53" t="str">
        <f>IF(COUNTIF(Overwash_Matrix!$C:$C,2001)=0,"",COUNTIFS(Overwash_Matrix!$C:$C,2001,Overwash_Matrix!BU:BU,1))</f>
        <v/>
      </c>
      <c r="BP21" s="53" t="str">
        <f>IF(COUNTIF(Overwash_Matrix!$C:$C,2001)=0,"",COUNTIFS(Overwash_Matrix!$C:$C,2001,Overwash_Matrix!BV:BV,1))</f>
        <v/>
      </c>
      <c r="BQ21" s="53" t="str">
        <f>IF(COUNTIF(Overwash_Matrix!$C:$C,2001)=0,"",COUNTIFS(Overwash_Matrix!$C:$C,2001,Overwash_Matrix!BW:BW,1))</f>
        <v/>
      </c>
      <c r="BR21" s="53" t="str">
        <f>IF(COUNTIF(Overwash_Matrix!$C:$C,2001)=0,"",COUNTIFS(Overwash_Matrix!$C:$C,2001,Overwash_Matrix!BX:BX,1))</f>
        <v/>
      </c>
      <c r="BS21" s="53" t="str">
        <f>IF(COUNTIF(Overwash_Matrix!$C:$C,2001)=0,"",COUNTIFS(Overwash_Matrix!$C:$C,2001,Overwash_Matrix!BY:BY,1))</f>
        <v/>
      </c>
      <c r="BT21" s="53" t="str">
        <f>IF(COUNTIF(Overwash_Matrix!$C:$C,2001)=0,"",COUNTIFS(Overwash_Matrix!$C:$C,2001,Overwash_Matrix!BZ:BZ,1))</f>
        <v/>
      </c>
      <c r="BU21" s="53" t="str">
        <f>IF(COUNTIF(Overwash_Matrix!$C:$C,2001)=0,"",COUNTIFS(Overwash_Matrix!$C:$C,2001,Overwash_Matrix!CA:CA,1))</f>
        <v/>
      </c>
      <c r="BV21" s="53" t="str">
        <f>IF(COUNTIF(Overwash_Matrix!$C:$C,2001)=0,"",COUNTIFS(Overwash_Matrix!$C:$C,2001,Overwash_Matrix!CB:CB,1))</f>
        <v/>
      </c>
      <c r="BW21" s="53" t="str">
        <f>IF(COUNTIF(Overwash_Matrix!$C:$C,2001)=0,"",COUNTIFS(Overwash_Matrix!$C:$C,2001,Overwash_Matrix!CC:CC,1))</f>
        <v/>
      </c>
      <c r="BX21" s="53" t="str">
        <f>IF(COUNTIF(Overwash_Matrix!$C:$C,2001)=0,"",COUNTIFS(Overwash_Matrix!$C:$C,2001,Overwash_Matrix!CD:CD,1))</f>
        <v/>
      </c>
      <c r="BY21" s="53" t="str">
        <f>IF(COUNTIF(Overwash_Matrix!$C:$C,2001)=0,"",COUNTIFS(Overwash_Matrix!$C:$C,2001,Overwash_Matrix!CE:CE,1))</f>
        <v/>
      </c>
      <c r="BZ21" s="53" t="str">
        <f>IF(COUNTIF(Overwash_Matrix!$C:$C,2001)=0,"",COUNTIFS(Overwash_Matrix!$C:$C,2001,Overwash_Matrix!CF:CF,1))</f>
        <v/>
      </c>
      <c r="CA21" s="53" t="str">
        <f>IF(COUNTIF(Overwash_Matrix!$C:$C,2001)=0,"",COUNTIFS(Overwash_Matrix!$C:$C,2001,Overwash_Matrix!CG:CG,1))</f>
        <v/>
      </c>
      <c r="CB21" s="53" t="str">
        <f>IF(COUNTIF(Overwash_Matrix!$C:$C,2001)=0,"",COUNTIFS(Overwash_Matrix!$C:$C,2001,Overwash_Matrix!CH:CH,1))</f>
        <v/>
      </c>
      <c r="CC21" s="53" t="str">
        <f>IF(COUNTIF(Overwash_Matrix!$C:$C,2001)=0,"",COUNTIFS(Overwash_Matrix!$C:$C,2001,Overwash_Matrix!CI:CI,1))</f>
        <v/>
      </c>
      <c r="CD21" s="53" t="str">
        <f>IF(COUNTIF(Overwash_Matrix!$C:$C,2001)=0,"",COUNTIFS(Overwash_Matrix!$C:$C,2001,Overwash_Matrix!CJ:CJ,1))</f>
        <v/>
      </c>
      <c r="CE21" s="53" t="str">
        <f>IF(COUNTIF(Overwash_Matrix!$C:$C,2001)=0,"",COUNTIFS(Overwash_Matrix!$C:$C,2001,Overwash_Matrix!CK:CK,1))</f>
        <v/>
      </c>
      <c r="CF21" s="53" t="str">
        <f>IF(COUNTIF(Overwash_Matrix!$C:$C,2001)=0,"",COUNTIFS(Overwash_Matrix!$C:$C,2001,Overwash_Matrix!CL:CL,1))</f>
        <v/>
      </c>
      <c r="CG21" s="53" t="str">
        <f>IF(COUNTIF(Overwash_Matrix!$C:$C,2001)=0,"",COUNTIFS(Overwash_Matrix!$C:$C,2001,Overwash_Matrix!CM:CM,1))</f>
        <v/>
      </c>
      <c r="CH21" s="53" t="str">
        <f>IF(COUNTIF(Overwash_Matrix!$C:$C,2001)=0,"",COUNTIFS(Overwash_Matrix!$C:$C,2001,Overwash_Matrix!CN:CN,1))</f>
        <v/>
      </c>
      <c r="CI21" s="53" t="str">
        <f>IF(COUNTIF(Overwash_Matrix!$C:$C,2001)=0,"",COUNTIFS(Overwash_Matrix!$C:$C,2001,Overwash_Matrix!CO:CO,1))</f>
        <v/>
      </c>
      <c r="CJ21" s="53" t="str">
        <f>IF(COUNTIF(Overwash_Matrix!$C:$C,2001)=0,"",COUNTIFS(Overwash_Matrix!$C:$C,2001,Overwash_Matrix!CP:CP,1))</f>
        <v/>
      </c>
      <c r="CK21" s="53" t="str">
        <f>IF(COUNTIF(Overwash_Matrix!$C:$C,2001)=0,"",COUNTIFS(Overwash_Matrix!$C:$C,2001,Overwash_Matrix!CQ:CQ,1))</f>
        <v/>
      </c>
      <c r="CL21" s="53" t="str">
        <f>IF(COUNTIF(Overwash_Matrix!$C:$C,2001)=0,"",COUNTIFS(Overwash_Matrix!$C:$C,2001,Overwash_Matrix!CR:CR,1))</f>
        <v/>
      </c>
      <c r="CM21" s="53" t="str">
        <f>IF(COUNTIF(Overwash_Matrix!$C:$C,2001)=0,"",COUNTIFS(Overwash_Matrix!$C:$C,2001,Overwash_Matrix!CS:CS,1))</f>
        <v/>
      </c>
      <c r="CN21" s="53" t="str">
        <f>IF(COUNTIF(Overwash_Matrix!$C:$C,2001)=0,"",COUNTIFS(Overwash_Matrix!$C:$C,2001,Overwash_Matrix!CT:CT,1))</f>
        <v/>
      </c>
    </row>
    <row r="22" ht="13.5" customHeight="1">
      <c r="A22" s="86">
        <v>2002.0</v>
      </c>
      <c r="B22" s="87">
        <f>COUNTIF(Overwash_Matrix!$C:$C,2002)</f>
        <v>0</v>
      </c>
      <c r="C22" s="57" t="str">
        <f>IF(COUNTIF(Overwash_Matrix!$C:$C,2002)=0,"",COUNTIFS(Overwash_Matrix!$C:$C,2002,Overwash_Matrix!I:I,1))</f>
        <v/>
      </c>
      <c r="D22" s="57" t="str">
        <f>IF(COUNTIF(Overwash_Matrix!$C:$C,2002)=0,"",COUNTIFS(Overwash_Matrix!$C:$C,2002,Overwash_Matrix!J:J,1))</f>
        <v/>
      </c>
      <c r="E22" s="57" t="str">
        <f>IF(COUNTIF(Overwash_Matrix!$C:$C,2002)=0,"",COUNTIFS(Overwash_Matrix!$C:$C,2002,Overwash_Matrix!K:K,1))</f>
        <v/>
      </c>
      <c r="F22" s="57" t="str">
        <f>IF(COUNTIF(Overwash_Matrix!$C:$C,2002)=0,"",COUNTIFS(Overwash_Matrix!$C:$C,2002,Overwash_Matrix!L:L,1))</f>
        <v/>
      </c>
      <c r="G22" s="57" t="str">
        <f>IF(COUNTIF(Overwash_Matrix!$C:$C,2002)=0,"",COUNTIFS(Overwash_Matrix!$C:$C,2002,Overwash_Matrix!M:M,1))</f>
        <v/>
      </c>
      <c r="H22" s="57" t="str">
        <f>IF(COUNTIF(Overwash_Matrix!$C:$C,2002)=0,"",COUNTIFS(Overwash_Matrix!$C:$C,2002,Overwash_Matrix!N:N,1))</f>
        <v/>
      </c>
      <c r="I22" s="57" t="str">
        <f>IF(COUNTIF(Overwash_Matrix!$C:$C,2002)=0,"",COUNTIFS(Overwash_Matrix!$C:$C,2002,Overwash_Matrix!O:O,1))</f>
        <v/>
      </c>
      <c r="J22" s="57" t="str">
        <f>IF(COUNTIF(Overwash_Matrix!$C:$C,2002)=0,"",COUNTIFS(Overwash_Matrix!$C:$C,2002,Overwash_Matrix!P:P,1))</f>
        <v/>
      </c>
      <c r="K22" s="57" t="str">
        <f>IF(COUNTIF(Overwash_Matrix!$C:$C,2002)=0,"",COUNTIFS(Overwash_Matrix!$C:$C,2002,Overwash_Matrix!Q:Q,1))</f>
        <v/>
      </c>
      <c r="L22" s="57" t="str">
        <f>IF(COUNTIF(Overwash_Matrix!$C:$C,2002)=0,"",COUNTIFS(Overwash_Matrix!$C:$C,2002,Overwash_Matrix!R:R,1))</f>
        <v/>
      </c>
      <c r="M22" s="57" t="str">
        <f>IF(COUNTIF(Overwash_Matrix!$C:$C,2002)=0,"",COUNTIFS(Overwash_Matrix!$C:$C,2002,Overwash_Matrix!S:S,1))</f>
        <v/>
      </c>
      <c r="N22" s="57" t="str">
        <f>IF(COUNTIF(Overwash_Matrix!$C:$C,2002)=0,"",COUNTIFS(Overwash_Matrix!$C:$C,2002,Overwash_Matrix!T:T,1))</f>
        <v/>
      </c>
      <c r="O22" s="57" t="str">
        <f>IF(COUNTIF(Overwash_Matrix!$C:$C,2002)=0,"",COUNTIFS(Overwash_Matrix!$C:$C,2002,Overwash_Matrix!U:U,1))</f>
        <v/>
      </c>
      <c r="P22" s="57" t="str">
        <f>IF(COUNTIF(Overwash_Matrix!$C:$C,2002)=0,"",COUNTIFS(Overwash_Matrix!$C:$C,2002,Overwash_Matrix!V:V,1))</f>
        <v/>
      </c>
      <c r="Q22" s="57" t="str">
        <f>IF(COUNTIF(Overwash_Matrix!$C:$C,2002)=0,"",COUNTIFS(Overwash_Matrix!$C:$C,2002,Overwash_Matrix!W:W,1))</f>
        <v/>
      </c>
      <c r="R22" s="57" t="str">
        <f>IF(COUNTIF(Overwash_Matrix!$C:$C,2002)=0,"",COUNTIFS(Overwash_Matrix!$C:$C,2002,Overwash_Matrix!X:X,1))</f>
        <v/>
      </c>
      <c r="S22" s="57" t="str">
        <f>IF(COUNTIF(Overwash_Matrix!$C:$C,2002)=0,"",COUNTIFS(Overwash_Matrix!$C:$C,2002,Overwash_Matrix!Y:Y,1))</f>
        <v/>
      </c>
      <c r="T22" s="57" t="str">
        <f>IF(COUNTIF(Overwash_Matrix!$C:$C,2002)=0,"",COUNTIFS(Overwash_Matrix!$C:$C,2002,Overwash_Matrix!Z:Z,1))</f>
        <v/>
      </c>
      <c r="U22" s="57" t="str">
        <f>IF(COUNTIF(Overwash_Matrix!$C:$C,2002)=0,"",COUNTIFS(Overwash_Matrix!$C:$C,2002,Overwash_Matrix!AA:AA,1))</f>
        <v/>
      </c>
      <c r="V22" s="57" t="str">
        <f>IF(COUNTIF(Overwash_Matrix!$C:$C,2002)=0,"",COUNTIFS(Overwash_Matrix!$C:$C,2002,Overwash_Matrix!AB:AB,1))</f>
        <v/>
      </c>
      <c r="W22" s="57" t="str">
        <f>IF(COUNTIF(Overwash_Matrix!$C:$C,2002)=0,"",COUNTIFS(Overwash_Matrix!$C:$C,2002,Overwash_Matrix!AC:AC,1))</f>
        <v/>
      </c>
      <c r="X22" s="57" t="str">
        <f>IF(COUNTIF(Overwash_Matrix!$C:$C,2002)=0,"",COUNTIFS(Overwash_Matrix!$C:$C,2002,Overwash_Matrix!AD:AD,1))</f>
        <v/>
      </c>
      <c r="Y22" s="57" t="str">
        <f>IF(COUNTIF(Overwash_Matrix!$C:$C,2002)=0,"",COUNTIFS(Overwash_Matrix!$C:$C,2002,Overwash_Matrix!AE:AE,1))</f>
        <v/>
      </c>
      <c r="Z22" s="57" t="str">
        <f>IF(COUNTIF(Overwash_Matrix!$C:$C,2002)=0,"",COUNTIFS(Overwash_Matrix!$C:$C,2002,Overwash_Matrix!AF:AF,1))</f>
        <v/>
      </c>
      <c r="AA22" s="57" t="str">
        <f>IF(COUNTIF(Overwash_Matrix!$C:$C,2002)=0,"",COUNTIFS(Overwash_Matrix!$C:$C,2002,Overwash_Matrix!AG:AG,1))</f>
        <v/>
      </c>
      <c r="AB22" s="57" t="str">
        <f>IF(COUNTIF(Overwash_Matrix!$C:$C,2002)=0,"",COUNTIFS(Overwash_Matrix!$C:$C,2002,Overwash_Matrix!AH:AH,1))</f>
        <v/>
      </c>
      <c r="AC22" s="57" t="str">
        <f>IF(COUNTIF(Overwash_Matrix!$C:$C,2002)=0,"",COUNTIFS(Overwash_Matrix!$C:$C,2002,Overwash_Matrix!AI:AI,1))</f>
        <v/>
      </c>
      <c r="AD22" s="57" t="str">
        <f>IF(COUNTIF(Overwash_Matrix!$C:$C,2002)=0,"",COUNTIFS(Overwash_Matrix!$C:$C,2002,Overwash_Matrix!AJ:AJ,1))</f>
        <v/>
      </c>
      <c r="AE22" s="57" t="str">
        <f>IF(COUNTIF(Overwash_Matrix!$C:$C,2002)=0,"",COUNTIFS(Overwash_Matrix!$C:$C,2002,Overwash_Matrix!AK:AK,1))</f>
        <v/>
      </c>
      <c r="AF22" s="57" t="str">
        <f>IF(COUNTIF(Overwash_Matrix!$C:$C,2002)=0,"",COUNTIFS(Overwash_Matrix!$C:$C,2002,Overwash_Matrix!AL:AL,1))</f>
        <v/>
      </c>
      <c r="AG22" s="57" t="str">
        <f>IF(COUNTIF(Overwash_Matrix!$C:$C,2002)=0,"",COUNTIFS(Overwash_Matrix!$C:$C,2002,Overwash_Matrix!AM:AM,1))</f>
        <v/>
      </c>
      <c r="AH22" s="57" t="str">
        <f>IF(COUNTIF(Overwash_Matrix!$C:$C,2002)=0,"",COUNTIFS(Overwash_Matrix!$C:$C,2002,Overwash_Matrix!AN:AN,1))</f>
        <v/>
      </c>
      <c r="AI22" s="57" t="str">
        <f>IF(COUNTIF(Overwash_Matrix!$C:$C,2002)=0,"",COUNTIFS(Overwash_Matrix!$C:$C,2002,Overwash_Matrix!AO:AO,1))</f>
        <v/>
      </c>
      <c r="AJ22" s="57" t="str">
        <f>IF(COUNTIF(Overwash_Matrix!$C:$C,2002)=0,"",COUNTIFS(Overwash_Matrix!$C:$C,2002,Overwash_Matrix!AP:AP,1))</f>
        <v/>
      </c>
      <c r="AK22" s="57" t="str">
        <f>IF(COUNTIF(Overwash_Matrix!$C:$C,2002)=0,"",COUNTIFS(Overwash_Matrix!$C:$C,2002,Overwash_Matrix!AQ:AQ,1))</f>
        <v/>
      </c>
      <c r="AL22" s="57" t="str">
        <f>IF(COUNTIF(Overwash_Matrix!$C:$C,2002)=0,"",COUNTIFS(Overwash_Matrix!$C:$C,2002,Overwash_Matrix!AR:AR,1))</f>
        <v/>
      </c>
      <c r="AM22" s="57" t="str">
        <f>IF(COUNTIF(Overwash_Matrix!$C:$C,2002)=0,"",COUNTIFS(Overwash_Matrix!$C:$C,2002,Overwash_Matrix!AS:AS,1))</f>
        <v/>
      </c>
      <c r="AN22" s="57" t="str">
        <f>IF(COUNTIF(Overwash_Matrix!$C:$C,2002)=0,"",COUNTIFS(Overwash_Matrix!$C:$C,2002,Overwash_Matrix!AT:AT,1))</f>
        <v/>
      </c>
      <c r="AO22" s="57" t="str">
        <f>IF(COUNTIF(Overwash_Matrix!$C:$C,2002)=0,"",COUNTIFS(Overwash_Matrix!$C:$C,2002,Overwash_Matrix!AU:AU,1))</f>
        <v/>
      </c>
      <c r="AP22" s="57" t="str">
        <f>IF(COUNTIF(Overwash_Matrix!$C:$C,2002)=0,"",COUNTIFS(Overwash_Matrix!$C:$C,2002,Overwash_Matrix!AV:AV,1))</f>
        <v/>
      </c>
      <c r="AQ22" s="57" t="str">
        <f>IF(COUNTIF(Overwash_Matrix!$C:$C,2002)=0,"",COUNTIFS(Overwash_Matrix!$C:$C,2002,Overwash_Matrix!AW:AW,1))</f>
        <v/>
      </c>
      <c r="AR22" s="57" t="str">
        <f>IF(COUNTIF(Overwash_Matrix!$C:$C,2002)=0,"",COUNTIFS(Overwash_Matrix!$C:$C,2002,Overwash_Matrix!AX:AX,1))</f>
        <v/>
      </c>
      <c r="AS22" s="57" t="str">
        <f>IF(COUNTIF(Overwash_Matrix!$C:$C,2002)=0,"",COUNTIFS(Overwash_Matrix!$C:$C,2002,Overwash_Matrix!AY:AY,1))</f>
        <v/>
      </c>
      <c r="AT22" s="57" t="str">
        <f>IF(COUNTIF(Overwash_Matrix!$C:$C,2002)=0,"",COUNTIFS(Overwash_Matrix!$C:$C,2002,Overwash_Matrix!AZ:AZ,1))</f>
        <v/>
      </c>
      <c r="AU22" s="57" t="str">
        <f>IF(COUNTIF(Overwash_Matrix!$C:$C,2002)=0,"",COUNTIFS(Overwash_Matrix!$C:$C,2002,Overwash_Matrix!BA:BA,1))</f>
        <v/>
      </c>
      <c r="AV22" s="57" t="str">
        <f>IF(COUNTIF(Overwash_Matrix!$C:$C,2002)=0,"",COUNTIFS(Overwash_Matrix!$C:$C,2002,Overwash_Matrix!BB:BB,1))</f>
        <v/>
      </c>
      <c r="AW22" s="57" t="str">
        <f>IF(COUNTIF(Overwash_Matrix!$C:$C,2002)=0,"",COUNTIFS(Overwash_Matrix!$C:$C,2002,Overwash_Matrix!BC:BC,1))</f>
        <v/>
      </c>
      <c r="AX22" s="57" t="str">
        <f>IF(COUNTIF(Overwash_Matrix!$C:$C,2002)=0,"",COUNTIFS(Overwash_Matrix!$C:$C,2002,Overwash_Matrix!BD:BD,1))</f>
        <v/>
      </c>
      <c r="AY22" s="57" t="str">
        <f>IF(COUNTIF(Overwash_Matrix!$C:$C,2002)=0,"",COUNTIFS(Overwash_Matrix!$C:$C,2002,Overwash_Matrix!BE:BE,1))</f>
        <v/>
      </c>
      <c r="AZ22" s="57" t="str">
        <f>IF(COUNTIF(Overwash_Matrix!$C:$C,2002)=0,"",COUNTIFS(Overwash_Matrix!$C:$C,2002,Overwash_Matrix!BF:BF,1))</f>
        <v/>
      </c>
      <c r="BA22" s="57" t="str">
        <f>IF(COUNTIF(Overwash_Matrix!$C:$C,2002)=0,"",COUNTIFS(Overwash_Matrix!$C:$C,2002,Overwash_Matrix!BG:BG,1))</f>
        <v/>
      </c>
      <c r="BB22" s="57" t="str">
        <f>IF(COUNTIF(Overwash_Matrix!$C:$C,2002)=0,"",COUNTIFS(Overwash_Matrix!$C:$C,2002,Overwash_Matrix!BH:BH,1))</f>
        <v/>
      </c>
      <c r="BC22" s="57" t="str">
        <f>IF(COUNTIF(Overwash_Matrix!$C:$C,2002)=0,"",COUNTIFS(Overwash_Matrix!$C:$C,2002,Overwash_Matrix!BI:BI,1))</f>
        <v/>
      </c>
      <c r="BD22" s="57" t="str">
        <f>IF(COUNTIF(Overwash_Matrix!$C:$C,2002)=0,"",COUNTIFS(Overwash_Matrix!$C:$C,2002,Overwash_Matrix!BJ:BJ,1))</f>
        <v/>
      </c>
      <c r="BE22" s="57" t="str">
        <f>IF(COUNTIF(Overwash_Matrix!$C:$C,2002)=0,"",COUNTIFS(Overwash_Matrix!$C:$C,2002,Overwash_Matrix!BK:BK,1))</f>
        <v/>
      </c>
      <c r="BF22" s="57" t="str">
        <f>IF(COUNTIF(Overwash_Matrix!$C:$C,2002)=0,"",COUNTIFS(Overwash_Matrix!$C:$C,2002,Overwash_Matrix!BL:BL,1))</f>
        <v/>
      </c>
      <c r="BG22" s="57" t="str">
        <f>IF(COUNTIF(Overwash_Matrix!$C:$C,2002)=0,"",COUNTIFS(Overwash_Matrix!$C:$C,2002,Overwash_Matrix!BM:BM,1))</f>
        <v/>
      </c>
      <c r="BH22" s="57" t="str">
        <f>IF(COUNTIF(Overwash_Matrix!$C:$C,2002)=0,"",COUNTIFS(Overwash_Matrix!$C:$C,2002,Overwash_Matrix!BN:BN,1))</f>
        <v/>
      </c>
      <c r="BI22" s="57" t="str">
        <f>IF(COUNTIF(Overwash_Matrix!$C:$C,2002)=0,"",COUNTIFS(Overwash_Matrix!$C:$C,2002,Overwash_Matrix!BO:BO,1))</f>
        <v/>
      </c>
      <c r="BJ22" s="57" t="str">
        <f>IF(COUNTIF(Overwash_Matrix!$C:$C,2002)=0,"",COUNTIFS(Overwash_Matrix!$C:$C,2002,Overwash_Matrix!BP:BP,1))</f>
        <v/>
      </c>
      <c r="BK22" s="57" t="str">
        <f>IF(COUNTIF(Overwash_Matrix!$C:$C,2002)=0,"",COUNTIFS(Overwash_Matrix!$C:$C,2002,Overwash_Matrix!BQ:BQ,1))</f>
        <v/>
      </c>
      <c r="BL22" s="57" t="str">
        <f>IF(COUNTIF(Overwash_Matrix!$C:$C,2002)=0,"",COUNTIFS(Overwash_Matrix!$C:$C,2002,Overwash_Matrix!BR:BR,1))</f>
        <v/>
      </c>
      <c r="BM22" s="57" t="str">
        <f>IF(COUNTIF(Overwash_Matrix!$C:$C,2002)=0,"",COUNTIFS(Overwash_Matrix!$C:$C,2002,Overwash_Matrix!BS:BS,1))</f>
        <v/>
      </c>
      <c r="BN22" s="57" t="str">
        <f>IF(COUNTIF(Overwash_Matrix!$C:$C,2002)=0,"",COUNTIFS(Overwash_Matrix!$C:$C,2002,Overwash_Matrix!BT:BT,1))</f>
        <v/>
      </c>
      <c r="BO22" s="57" t="str">
        <f>IF(COUNTIF(Overwash_Matrix!$C:$C,2002)=0,"",COUNTIFS(Overwash_Matrix!$C:$C,2002,Overwash_Matrix!BU:BU,1))</f>
        <v/>
      </c>
      <c r="BP22" s="57" t="str">
        <f>IF(COUNTIF(Overwash_Matrix!$C:$C,2002)=0,"",COUNTIFS(Overwash_Matrix!$C:$C,2002,Overwash_Matrix!BV:BV,1))</f>
        <v/>
      </c>
      <c r="BQ22" s="57" t="str">
        <f>IF(COUNTIF(Overwash_Matrix!$C:$C,2002)=0,"",COUNTIFS(Overwash_Matrix!$C:$C,2002,Overwash_Matrix!BW:BW,1))</f>
        <v/>
      </c>
      <c r="BR22" s="57" t="str">
        <f>IF(COUNTIF(Overwash_Matrix!$C:$C,2002)=0,"",COUNTIFS(Overwash_Matrix!$C:$C,2002,Overwash_Matrix!BX:BX,1))</f>
        <v/>
      </c>
      <c r="BS22" s="57" t="str">
        <f>IF(COUNTIF(Overwash_Matrix!$C:$C,2002)=0,"",COUNTIFS(Overwash_Matrix!$C:$C,2002,Overwash_Matrix!BY:BY,1))</f>
        <v/>
      </c>
      <c r="BT22" s="57" t="str">
        <f>IF(COUNTIF(Overwash_Matrix!$C:$C,2002)=0,"",COUNTIFS(Overwash_Matrix!$C:$C,2002,Overwash_Matrix!BZ:BZ,1))</f>
        <v/>
      </c>
      <c r="BU22" s="57" t="str">
        <f>IF(COUNTIF(Overwash_Matrix!$C:$C,2002)=0,"",COUNTIFS(Overwash_Matrix!$C:$C,2002,Overwash_Matrix!CA:CA,1))</f>
        <v/>
      </c>
      <c r="BV22" s="57" t="str">
        <f>IF(COUNTIF(Overwash_Matrix!$C:$C,2002)=0,"",COUNTIFS(Overwash_Matrix!$C:$C,2002,Overwash_Matrix!CB:CB,1))</f>
        <v/>
      </c>
      <c r="BW22" s="57" t="str">
        <f>IF(COUNTIF(Overwash_Matrix!$C:$C,2002)=0,"",COUNTIFS(Overwash_Matrix!$C:$C,2002,Overwash_Matrix!CC:CC,1))</f>
        <v/>
      </c>
      <c r="BX22" s="57" t="str">
        <f>IF(COUNTIF(Overwash_Matrix!$C:$C,2002)=0,"",COUNTIFS(Overwash_Matrix!$C:$C,2002,Overwash_Matrix!CD:CD,1))</f>
        <v/>
      </c>
      <c r="BY22" s="57" t="str">
        <f>IF(COUNTIF(Overwash_Matrix!$C:$C,2002)=0,"",COUNTIFS(Overwash_Matrix!$C:$C,2002,Overwash_Matrix!CE:CE,1))</f>
        <v/>
      </c>
      <c r="BZ22" s="57" t="str">
        <f>IF(COUNTIF(Overwash_Matrix!$C:$C,2002)=0,"",COUNTIFS(Overwash_Matrix!$C:$C,2002,Overwash_Matrix!CF:CF,1))</f>
        <v/>
      </c>
      <c r="CA22" s="57" t="str">
        <f>IF(COUNTIF(Overwash_Matrix!$C:$C,2002)=0,"",COUNTIFS(Overwash_Matrix!$C:$C,2002,Overwash_Matrix!CG:CG,1))</f>
        <v/>
      </c>
      <c r="CB22" s="57" t="str">
        <f>IF(COUNTIF(Overwash_Matrix!$C:$C,2002)=0,"",COUNTIFS(Overwash_Matrix!$C:$C,2002,Overwash_Matrix!CH:CH,1))</f>
        <v/>
      </c>
      <c r="CC22" s="57" t="str">
        <f>IF(COUNTIF(Overwash_Matrix!$C:$C,2002)=0,"",COUNTIFS(Overwash_Matrix!$C:$C,2002,Overwash_Matrix!CI:CI,1))</f>
        <v/>
      </c>
      <c r="CD22" s="57" t="str">
        <f>IF(COUNTIF(Overwash_Matrix!$C:$C,2002)=0,"",COUNTIFS(Overwash_Matrix!$C:$C,2002,Overwash_Matrix!CJ:CJ,1))</f>
        <v/>
      </c>
      <c r="CE22" s="57" t="str">
        <f>IF(COUNTIF(Overwash_Matrix!$C:$C,2002)=0,"",COUNTIFS(Overwash_Matrix!$C:$C,2002,Overwash_Matrix!CK:CK,1))</f>
        <v/>
      </c>
      <c r="CF22" s="57" t="str">
        <f>IF(COUNTIF(Overwash_Matrix!$C:$C,2002)=0,"",COUNTIFS(Overwash_Matrix!$C:$C,2002,Overwash_Matrix!CL:CL,1))</f>
        <v/>
      </c>
      <c r="CG22" s="57" t="str">
        <f>IF(COUNTIF(Overwash_Matrix!$C:$C,2002)=0,"",COUNTIFS(Overwash_Matrix!$C:$C,2002,Overwash_Matrix!CM:CM,1))</f>
        <v/>
      </c>
      <c r="CH22" s="57" t="str">
        <f>IF(COUNTIF(Overwash_Matrix!$C:$C,2002)=0,"",COUNTIFS(Overwash_Matrix!$C:$C,2002,Overwash_Matrix!CN:CN,1))</f>
        <v/>
      </c>
      <c r="CI22" s="57" t="str">
        <f>IF(COUNTIF(Overwash_Matrix!$C:$C,2002)=0,"",COUNTIFS(Overwash_Matrix!$C:$C,2002,Overwash_Matrix!CO:CO,1))</f>
        <v/>
      </c>
      <c r="CJ22" s="57" t="str">
        <f>IF(COUNTIF(Overwash_Matrix!$C:$C,2002)=0,"",COUNTIFS(Overwash_Matrix!$C:$C,2002,Overwash_Matrix!CP:CP,1))</f>
        <v/>
      </c>
      <c r="CK22" s="57" t="str">
        <f>IF(COUNTIF(Overwash_Matrix!$C:$C,2002)=0,"",COUNTIFS(Overwash_Matrix!$C:$C,2002,Overwash_Matrix!CQ:CQ,1))</f>
        <v/>
      </c>
      <c r="CL22" s="57" t="str">
        <f>IF(COUNTIF(Overwash_Matrix!$C:$C,2002)=0,"",COUNTIFS(Overwash_Matrix!$C:$C,2002,Overwash_Matrix!CR:CR,1))</f>
        <v/>
      </c>
      <c r="CM22" s="57" t="str">
        <f>IF(COUNTIF(Overwash_Matrix!$C:$C,2002)=0,"",COUNTIFS(Overwash_Matrix!$C:$C,2002,Overwash_Matrix!CS:CS,1))</f>
        <v/>
      </c>
      <c r="CN22" s="57" t="str">
        <f>IF(COUNTIF(Overwash_Matrix!$C:$C,2002)=0,"",COUNTIFS(Overwash_Matrix!$C:$C,2002,Overwash_Matrix!CT:CT,1))</f>
        <v/>
      </c>
    </row>
    <row r="23" ht="13.5" customHeight="1">
      <c r="A23" s="88">
        <v>2003.0</v>
      </c>
      <c r="B23" s="89">
        <f>COUNTIF(Overwash_Matrix!$C:$C,2003)</f>
        <v>0</v>
      </c>
      <c r="C23" s="53" t="str">
        <f>IF(COUNTIF(Overwash_Matrix!$C:$C,2003)=0,"",COUNTIFS(Overwash_Matrix!$C:$C,2003,Overwash_Matrix!I:I,1))</f>
        <v/>
      </c>
      <c r="D23" s="53" t="str">
        <f>IF(COUNTIF(Overwash_Matrix!$C:$C,2003)=0,"",COUNTIFS(Overwash_Matrix!$C:$C,2003,Overwash_Matrix!J:J,1))</f>
        <v/>
      </c>
      <c r="E23" s="53" t="str">
        <f>IF(COUNTIF(Overwash_Matrix!$C:$C,2003)=0,"",COUNTIFS(Overwash_Matrix!$C:$C,2003,Overwash_Matrix!K:K,1))</f>
        <v/>
      </c>
      <c r="F23" s="53" t="str">
        <f>IF(COUNTIF(Overwash_Matrix!$C:$C,2003)=0,"",COUNTIFS(Overwash_Matrix!$C:$C,2003,Overwash_Matrix!L:L,1))</f>
        <v/>
      </c>
      <c r="G23" s="53" t="str">
        <f>IF(COUNTIF(Overwash_Matrix!$C:$C,2003)=0,"",COUNTIFS(Overwash_Matrix!$C:$C,2003,Overwash_Matrix!M:M,1))</f>
        <v/>
      </c>
      <c r="H23" s="53" t="str">
        <f>IF(COUNTIF(Overwash_Matrix!$C:$C,2003)=0,"",COUNTIFS(Overwash_Matrix!$C:$C,2003,Overwash_Matrix!N:N,1))</f>
        <v/>
      </c>
      <c r="I23" s="53" t="str">
        <f>IF(COUNTIF(Overwash_Matrix!$C:$C,2003)=0,"",COUNTIFS(Overwash_Matrix!$C:$C,2003,Overwash_Matrix!O:O,1))</f>
        <v/>
      </c>
      <c r="J23" s="53" t="str">
        <f>IF(COUNTIF(Overwash_Matrix!$C:$C,2003)=0,"",COUNTIFS(Overwash_Matrix!$C:$C,2003,Overwash_Matrix!P:P,1))</f>
        <v/>
      </c>
      <c r="K23" s="53" t="str">
        <f>IF(COUNTIF(Overwash_Matrix!$C:$C,2003)=0,"",COUNTIFS(Overwash_Matrix!$C:$C,2003,Overwash_Matrix!Q:Q,1))</f>
        <v/>
      </c>
      <c r="L23" s="53" t="str">
        <f>IF(COUNTIF(Overwash_Matrix!$C:$C,2003)=0,"",COUNTIFS(Overwash_Matrix!$C:$C,2003,Overwash_Matrix!R:R,1))</f>
        <v/>
      </c>
      <c r="M23" s="53" t="str">
        <f>IF(COUNTIF(Overwash_Matrix!$C:$C,2003)=0,"",COUNTIFS(Overwash_Matrix!$C:$C,2003,Overwash_Matrix!S:S,1))</f>
        <v/>
      </c>
      <c r="N23" s="53" t="str">
        <f>IF(COUNTIF(Overwash_Matrix!$C:$C,2003)=0,"",COUNTIFS(Overwash_Matrix!$C:$C,2003,Overwash_Matrix!T:T,1))</f>
        <v/>
      </c>
      <c r="O23" s="53" t="str">
        <f>IF(COUNTIF(Overwash_Matrix!$C:$C,2003)=0,"",COUNTIFS(Overwash_Matrix!$C:$C,2003,Overwash_Matrix!U:U,1))</f>
        <v/>
      </c>
      <c r="P23" s="53" t="str">
        <f>IF(COUNTIF(Overwash_Matrix!$C:$C,2003)=0,"",COUNTIFS(Overwash_Matrix!$C:$C,2003,Overwash_Matrix!V:V,1))</f>
        <v/>
      </c>
      <c r="Q23" s="53" t="str">
        <f>IF(COUNTIF(Overwash_Matrix!$C:$C,2003)=0,"",COUNTIFS(Overwash_Matrix!$C:$C,2003,Overwash_Matrix!W:W,1))</f>
        <v/>
      </c>
      <c r="R23" s="53" t="str">
        <f>IF(COUNTIF(Overwash_Matrix!$C:$C,2003)=0,"",COUNTIFS(Overwash_Matrix!$C:$C,2003,Overwash_Matrix!X:X,1))</f>
        <v/>
      </c>
      <c r="S23" s="53" t="str">
        <f>IF(COUNTIF(Overwash_Matrix!$C:$C,2003)=0,"",COUNTIFS(Overwash_Matrix!$C:$C,2003,Overwash_Matrix!Y:Y,1))</f>
        <v/>
      </c>
      <c r="T23" s="53" t="str">
        <f>IF(COUNTIF(Overwash_Matrix!$C:$C,2003)=0,"",COUNTIFS(Overwash_Matrix!$C:$C,2003,Overwash_Matrix!Z:Z,1))</f>
        <v/>
      </c>
      <c r="U23" s="53" t="str">
        <f>IF(COUNTIF(Overwash_Matrix!$C:$C,2003)=0,"",COUNTIFS(Overwash_Matrix!$C:$C,2003,Overwash_Matrix!AA:AA,1))</f>
        <v/>
      </c>
      <c r="V23" s="53" t="str">
        <f>IF(COUNTIF(Overwash_Matrix!$C:$C,2003)=0,"",COUNTIFS(Overwash_Matrix!$C:$C,2003,Overwash_Matrix!AB:AB,1))</f>
        <v/>
      </c>
      <c r="W23" s="53" t="str">
        <f>IF(COUNTIF(Overwash_Matrix!$C:$C,2003)=0,"",COUNTIFS(Overwash_Matrix!$C:$C,2003,Overwash_Matrix!AC:AC,1))</f>
        <v/>
      </c>
      <c r="X23" s="53" t="str">
        <f>IF(COUNTIF(Overwash_Matrix!$C:$C,2003)=0,"",COUNTIFS(Overwash_Matrix!$C:$C,2003,Overwash_Matrix!AD:AD,1))</f>
        <v/>
      </c>
      <c r="Y23" s="53" t="str">
        <f>IF(COUNTIF(Overwash_Matrix!$C:$C,2003)=0,"",COUNTIFS(Overwash_Matrix!$C:$C,2003,Overwash_Matrix!AE:AE,1))</f>
        <v/>
      </c>
      <c r="Z23" s="53" t="str">
        <f>IF(COUNTIF(Overwash_Matrix!$C:$C,2003)=0,"",COUNTIFS(Overwash_Matrix!$C:$C,2003,Overwash_Matrix!AF:AF,1))</f>
        <v/>
      </c>
      <c r="AA23" s="53" t="str">
        <f>IF(COUNTIF(Overwash_Matrix!$C:$C,2003)=0,"",COUNTIFS(Overwash_Matrix!$C:$C,2003,Overwash_Matrix!AG:AG,1))</f>
        <v/>
      </c>
      <c r="AB23" s="53" t="str">
        <f>IF(COUNTIF(Overwash_Matrix!$C:$C,2003)=0,"",COUNTIFS(Overwash_Matrix!$C:$C,2003,Overwash_Matrix!AH:AH,1))</f>
        <v/>
      </c>
      <c r="AC23" s="53" t="str">
        <f>IF(COUNTIF(Overwash_Matrix!$C:$C,2003)=0,"",COUNTIFS(Overwash_Matrix!$C:$C,2003,Overwash_Matrix!AI:AI,1))</f>
        <v/>
      </c>
      <c r="AD23" s="53" t="str">
        <f>IF(COUNTIF(Overwash_Matrix!$C:$C,2003)=0,"",COUNTIFS(Overwash_Matrix!$C:$C,2003,Overwash_Matrix!AJ:AJ,1))</f>
        <v/>
      </c>
      <c r="AE23" s="53" t="str">
        <f>IF(COUNTIF(Overwash_Matrix!$C:$C,2003)=0,"",COUNTIFS(Overwash_Matrix!$C:$C,2003,Overwash_Matrix!AK:AK,1))</f>
        <v/>
      </c>
      <c r="AF23" s="53" t="str">
        <f>IF(COUNTIF(Overwash_Matrix!$C:$C,2003)=0,"",COUNTIFS(Overwash_Matrix!$C:$C,2003,Overwash_Matrix!AL:AL,1))</f>
        <v/>
      </c>
      <c r="AG23" s="53" t="str">
        <f>IF(COUNTIF(Overwash_Matrix!$C:$C,2003)=0,"",COUNTIFS(Overwash_Matrix!$C:$C,2003,Overwash_Matrix!AM:AM,1))</f>
        <v/>
      </c>
      <c r="AH23" s="53" t="str">
        <f>IF(COUNTIF(Overwash_Matrix!$C:$C,2003)=0,"",COUNTIFS(Overwash_Matrix!$C:$C,2003,Overwash_Matrix!AN:AN,1))</f>
        <v/>
      </c>
      <c r="AI23" s="53" t="str">
        <f>IF(COUNTIF(Overwash_Matrix!$C:$C,2003)=0,"",COUNTIFS(Overwash_Matrix!$C:$C,2003,Overwash_Matrix!AO:AO,1))</f>
        <v/>
      </c>
      <c r="AJ23" s="53" t="str">
        <f>IF(COUNTIF(Overwash_Matrix!$C:$C,2003)=0,"",COUNTIFS(Overwash_Matrix!$C:$C,2003,Overwash_Matrix!AP:AP,1))</f>
        <v/>
      </c>
      <c r="AK23" s="53" t="str">
        <f>IF(COUNTIF(Overwash_Matrix!$C:$C,2003)=0,"",COUNTIFS(Overwash_Matrix!$C:$C,2003,Overwash_Matrix!AQ:AQ,1))</f>
        <v/>
      </c>
      <c r="AL23" s="53" t="str">
        <f>IF(COUNTIF(Overwash_Matrix!$C:$C,2003)=0,"",COUNTIFS(Overwash_Matrix!$C:$C,2003,Overwash_Matrix!AR:AR,1))</f>
        <v/>
      </c>
      <c r="AM23" s="53" t="str">
        <f>IF(COUNTIF(Overwash_Matrix!$C:$C,2003)=0,"",COUNTIFS(Overwash_Matrix!$C:$C,2003,Overwash_Matrix!AS:AS,1))</f>
        <v/>
      </c>
      <c r="AN23" s="53" t="str">
        <f>IF(COUNTIF(Overwash_Matrix!$C:$C,2003)=0,"",COUNTIFS(Overwash_Matrix!$C:$C,2003,Overwash_Matrix!AT:AT,1))</f>
        <v/>
      </c>
      <c r="AO23" s="53" t="str">
        <f>IF(COUNTIF(Overwash_Matrix!$C:$C,2003)=0,"",COUNTIFS(Overwash_Matrix!$C:$C,2003,Overwash_Matrix!AU:AU,1))</f>
        <v/>
      </c>
      <c r="AP23" s="53" t="str">
        <f>IF(COUNTIF(Overwash_Matrix!$C:$C,2003)=0,"",COUNTIFS(Overwash_Matrix!$C:$C,2003,Overwash_Matrix!AV:AV,1))</f>
        <v/>
      </c>
      <c r="AQ23" s="53" t="str">
        <f>IF(COUNTIF(Overwash_Matrix!$C:$C,2003)=0,"",COUNTIFS(Overwash_Matrix!$C:$C,2003,Overwash_Matrix!AW:AW,1))</f>
        <v/>
      </c>
      <c r="AR23" s="53" t="str">
        <f>IF(COUNTIF(Overwash_Matrix!$C:$C,2003)=0,"",COUNTIFS(Overwash_Matrix!$C:$C,2003,Overwash_Matrix!AX:AX,1))</f>
        <v/>
      </c>
      <c r="AS23" s="53" t="str">
        <f>IF(COUNTIF(Overwash_Matrix!$C:$C,2003)=0,"",COUNTIFS(Overwash_Matrix!$C:$C,2003,Overwash_Matrix!AY:AY,1))</f>
        <v/>
      </c>
      <c r="AT23" s="53" t="str">
        <f>IF(COUNTIF(Overwash_Matrix!$C:$C,2003)=0,"",COUNTIFS(Overwash_Matrix!$C:$C,2003,Overwash_Matrix!AZ:AZ,1))</f>
        <v/>
      </c>
      <c r="AU23" s="53" t="str">
        <f>IF(COUNTIF(Overwash_Matrix!$C:$C,2003)=0,"",COUNTIFS(Overwash_Matrix!$C:$C,2003,Overwash_Matrix!BA:BA,1))</f>
        <v/>
      </c>
      <c r="AV23" s="53" t="str">
        <f>IF(COUNTIF(Overwash_Matrix!$C:$C,2003)=0,"",COUNTIFS(Overwash_Matrix!$C:$C,2003,Overwash_Matrix!BB:BB,1))</f>
        <v/>
      </c>
      <c r="AW23" s="53" t="str">
        <f>IF(COUNTIF(Overwash_Matrix!$C:$C,2003)=0,"",COUNTIFS(Overwash_Matrix!$C:$C,2003,Overwash_Matrix!BC:BC,1))</f>
        <v/>
      </c>
      <c r="AX23" s="53" t="str">
        <f>IF(COUNTIF(Overwash_Matrix!$C:$C,2003)=0,"",COUNTIFS(Overwash_Matrix!$C:$C,2003,Overwash_Matrix!BD:BD,1))</f>
        <v/>
      </c>
      <c r="AY23" s="53" t="str">
        <f>IF(COUNTIF(Overwash_Matrix!$C:$C,2003)=0,"",COUNTIFS(Overwash_Matrix!$C:$C,2003,Overwash_Matrix!BE:BE,1))</f>
        <v/>
      </c>
      <c r="AZ23" s="53" t="str">
        <f>IF(COUNTIF(Overwash_Matrix!$C:$C,2003)=0,"",COUNTIFS(Overwash_Matrix!$C:$C,2003,Overwash_Matrix!BF:BF,1))</f>
        <v/>
      </c>
      <c r="BA23" s="53" t="str">
        <f>IF(COUNTIF(Overwash_Matrix!$C:$C,2003)=0,"",COUNTIFS(Overwash_Matrix!$C:$C,2003,Overwash_Matrix!BG:BG,1))</f>
        <v/>
      </c>
      <c r="BB23" s="53" t="str">
        <f>IF(COUNTIF(Overwash_Matrix!$C:$C,2003)=0,"",COUNTIFS(Overwash_Matrix!$C:$C,2003,Overwash_Matrix!BH:BH,1))</f>
        <v/>
      </c>
      <c r="BC23" s="53" t="str">
        <f>IF(COUNTIF(Overwash_Matrix!$C:$C,2003)=0,"",COUNTIFS(Overwash_Matrix!$C:$C,2003,Overwash_Matrix!BI:BI,1))</f>
        <v/>
      </c>
      <c r="BD23" s="53" t="str">
        <f>IF(COUNTIF(Overwash_Matrix!$C:$C,2003)=0,"",COUNTIFS(Overwash_Matrix!$C:$C,2003,Overwash_Matrix!BJ:BJ,1))</f>
        <v/>
      </c>
      <c r="BE23" s="53" t="str">
        <f>IF(COUNTIF(Overwash_Matrix!$C:$C,2003)=0,"",COUNTIFS(Overwash_Matrix!$C:$C,2003,Overwash_Matrix!BK:BK,1))</f>
        <v/>
      </c>
      <c r="BF23" s="53" t="str">
        <f>IF(COUNTIF(Overwash_Matrix!$C:$C,2003)=0,"",COUNTIFS(Overwash_Matrix!$C:$C,2003,Overwash_Matrix!BL:BL,1))</f>
        <v/>
      </c>
      <c r="BG23" s="53" t="str">
        <f>IF(COUNTIF(Overwash_Matrix!$C:$C,2003)=0,"",COUNTIFS(Overwash_Matrix!$C:$C,2003,Overwash_Matrix!BM:BM,1))</f>
        <v/>
      </c>
      <c r="BH23" s="53" t="str">
        <f>IF(COUNTIF(Overwash_Matrix!$C:$C,2003)=0,"",COUNTIFS(Overwash_Matrix!$C:$C,2003,Overwash_Matrix!BN:BN,1))</f>
        <v/>
      </c>
      <c r="BI23" s="53" t="str">
        <f>IF(COUNTIF(Overwash_Matrix!$C:$C,2003)=0,"",COUNTIFS(Overwash_Matrix!$C:$C,2003,Overwash_Matrix!BO:BO,1))</f>
        <v/>
      </c>
      <c r="BJ23" s="53" t="str">
        <f>IF(COUNTIF(Overwash_Matrix!$C:$C,2003)=0,"",COUNTIFS(Overwash_Matrix!$C:$C,2003,Overwash_Matrix!BP:BP,1))</f>
        <v/>
      </c>
      <c r="BK23" s="53" t="str">
        <f>IF(COUNTIF(Overwash_Matrix!$C:$C,2003)=0,"",COUNTIFS(Overwash_Matrix!$C:$C,2003,Overwash_Matrix!BQ:BQ,1))</f>
        <v/>
      </c>
      <c r="BL23" s="53" t="str">
        <f>IF(COUNTIF(Overwash_Matrix!$C:$C,2003)=0,"",COUNTIFS(Overwash_Matrix!$C:$C,2003,Overwash_Matrix!BR:BR,1))</f>
        <v/>
      </c>
      <c r="BM23" s="53" t="str">
        <f>IF(COUNTIF(Overwash_Matrix!$C:$C,2003)=0,"",COUNTIFS(Overwash_Matrix!$C:$C,2003,Overwash_Matrix!BS:BS,1))</f>
        <v/>
      </c>
      <c r="BN23" s="53" t="str">
        <f>IF(COUNTIF(Overwash_Matrix!$C:$C,2003)=0,"",COUNTIFS(Overwash_Matrix!$C:$C,2003,Overwash_Matrix!BT:BT,1))</f>
        <v/>
      </c>
      <c r="BO23" s="53" t="str">
        <f>IF(COUNTIF(Overwash_Matrix!$C:$C,2003)=0,"",COUNTIFS(Overwash_Matrix!$C:$C,2003,Overwash_Matrix!BU:BU,1))</f>
        <v/>
      </c>
      <c r="BP23" s="53" t="str">
        <f>IF(COUNTIF(Overwash_Matrix!$C:$C,2003)=0,"",COUNTIFS(Overwash_Matrix!$C:$C,2003,Overwash_Matrix!BV:BV,1))</f>
        <v/>
      </c>
      <c r="BQ23" s="53" t="str">
        <f>IF(COUNTIF(Overwash_Matrix!$C:$C,2003)=0,"",COUNTIFS(Overwash_Matrix!$C:$C,2003,Overwash_Matrix!BW:BW,1))</f>
        <v/>
      </c>
      <c r="BR23" s="53" t="str">
        <f>IF(COUNTIF(Overwash_Matrix!$C:$C,2003)=0,"",COUNTIFS(Overwash_Matrix!$C:$C,2003,Overwash_Matrix!BX:BX,1))</f>
        <v/>
      </c>
      <c r="BS23" s="53" t="str">
        <f>IF(COUNTIF(Overwash_Matrix!$C:$C,2003)=0,"",COUNTIFS(Overwash_Matrix!$C:$C,2003,Overwash_Matrix!BY:BY,1))</f>
        <v/>
      </c>
      <c r="BT23" s="53" t="str">
        <f>IF(COUNTIF(Overwash_Matrix!$C:$C,2003)=0,"",COUNTIFS(Overwash_Matrix!$C:$C,2003,Overwash_Matrix!BZ:BZ,1))</f>
        <v/>
      </c>
      <c r="BU23" s="53" t="str">
        <f>IF(COUNTIF(Overwash_Matrix!$C:$C,2003)=0,"",COUNTIFS(Overwash_Matrix!$C:$C,2003,Overwash_Matrix!CA:CA,1))</f>
        <v/>
      </c>
      <c r="BV23" s="53" t="str">
        <f>IF(COUNTIF(Overwash_Matrix!$C:$C,2003)=0,"",COUNTIFS(Overwash_Matrix!$C:$C,2003,Overwash_Matrix!CB:CB,1))</f>
        <v/>
      </c>
      <c r="BW23" s="53" t="str">
        <f>IF(COUNTIF(Overwash_Matrix!$C:$C,2003)=0,"",COUNTIFS(Overwash_Matrix!$C:$C,2003,Overwash_Matrix!CC:CC,1))</f>
        <v/>
      </c>
      <c r="BX23" s="53" t="str">
        <f>IF(COUNTIF(Overwash_Matrix!$C:$C,2003)=0,"",COUNTIFS(Overwash_Matrix!$C:$C,2003,Overwash_Matrix!CD:CD,1))</f>
        <v/>
      </c>
      <c r="BY23" s="53" t="str">
        <f>IF(COUNTIF(Overwash_Matrix!$C:$C,2003)=0,"",COUNTIFS(Overwash_Matrix!$C:$C,2003,Overwash_Matrix!CE:CE,1))</f>
        <v/>
      </c>
      <c r="BZ23" s="53" t="str">
        <f>IF(COUNTIF(Overwash_Matrix!$C:$C,2003)=0,"",COUNTIFS(Overwash_Matrix!$C:$C,2003,Overwash_Matrix!CF:CF,1))</f>
        <v/>
      </c>
      <c r="CA23" s="53" t="str">
        <f>IF(COUNTIF(Overwash_Matrix!$C:$C,2003)=0,"",COUNTIFS(Overwash_Matrix!$C:$C,2003,Overwash_Matrix!CG:CG,1))</f>
        <v/>
      </c>
      <c r="CB23" s="53" t="str">
        <f>IF(COUNTIF(Overwash_Matrix!$C:$C,2003)=0,"",COUNTIFS(Overwash_Matrix!$C:$C,2003,Overwash_Matrix!CH:CH,1))</f>
        <v/>
      </c>
      <c r="CC23" s="53" t="str">
        <f>IF(COUNTIF(Overwash_Matrix!$C:$C,2003)=0,"",COUNTIFS(Overwash_Matrix!$C:$C,2003,Overwash_Matrix!CI:CI,1))</f>
        <v/>
      </c>
      <c r="CD23" s="53" t="str">
        <f>IF(COUNTIF(Overwash_Matrix!$C:$C,2003)=0,"",COUNTIFS(Overwash_Matrix!$C:$C,2003,Overwash_Matrix!CJ:CJ,1))</f>
        <v/>
      </c>
      <c r="CE23" s="53" t="str">
        <f>IF(COUNTIF(Overwash_Matrix!$C:$C,2003)=0,"",COUNTIFS(Overwash_Matrix!$C:$C,2003,Overwash_Matrix!CK:CK,1))</f>
        <v/>
      </c>
      <c r="CF23" s="53" t="str">
        <f>IF(COUNTIF(Overwash_Matrix!$C:$C,2003)=0,"",COUNTIFS(Overwash_Matrix!$C:$C,2003,Overwash_Matrix!CL:CL,1))</f>
        <v/>
      </c>
      <c r="CG23" s="53" t="str">
        <f>IF(COUNTIF(Overwash_Matrix!$C:$C,2003)=0,"",COUNTIFS(Overwash_Matrix!$C:$C,2003,Overwash_Matrix!CM:CM,1))</f>
        <v/>
      </c>
      <c r="CH23" s="53" t="str">
        <f>IF(COUNTIF(Overwash_Matrix!$C:$C,2003)=0,"",COUNTIFS(Overwash_Matrix!$C:$C,2003,Overwash_Matrix!CN:CN,1))</f>
        <v/>
      </c>
      <c r="CI23" s="53" t="str">
        <f>IF(COUNTIF(Overwash_Matrix!$C:$C,2003)=0,"",COUNTIFS(Overwash_Matrix!$C:$C,2003,Overwash_Matrix!CO:CO,1))</f>
        <v/>
      </c>
      <c r="CJ23" s="53" t="str">
        <f>IF(COUNTIF(Overwash_Matrix!$C:$C,2003)=0,"",COUNTIFS(Overwash_Matrix!$C:$C,2003,Overwash_Matrix!CP:CP,1))</f>
        <v/>
      </c>
      <c r="CK23" s="53" t="str">
        <f>IF(COUNTIF(Overwash_Matrix!$C:$C,2003)=0,"",COUNTIFS(Overwash_Matrix!$C:$C,2003,Overwash_Matrix!CQ:CQ,1))</f>
        <v/>
      </c>
      <c r="CL23" s="53" t="str">
        <f>IF(COUNTIF(Overwash_Matrix!$C:$C,2003)=0,"",COUNTIFS(Overwash_Matrix!$C:$C,2003,Overwash_Matrix!CR:CR,1))</f>
        <v/>
      </c>
      <c r="CM23" s="53" t="str">
        <f>IF(COUNTIF(Overwash_Matrix!$C:$C,2003)=0,"",COUNTIFS(Overwash_Matrix!$C:$C,2003,Overwash_Matrix!CS:CS,1))</f>
        <v/>
      </c>
      <c r="CN23" s="53" t="str">
        <f>IF(COUNTIF(Overwash_Matrix!$C:$C,2003)=0,"",COUNTIFS(Overwash_Matrix!$C:$C,2003,Overwash_Matrix!CT:CT,1))</f>
        <v/>
      </c>
    </row>
    <row r="24" ht="13.5" customHeight="1">
      <c r="A24" s="86">
        <v>2004.0</v>
      </c>
      <c r="B24" s="87">
        <f>COUNTIF(Overwash_Matrix!$C:$C,2004)</f>
        <v>1</v>
      </c>
      <c r="C24" s="57">
        <f>IF(COUNTIF(Overwash_Matrix!$C:$C,2004)=0,"",COUNTIFS(Overwash_Matrix!$C:$C,2004,Overwash_Matrix!I:I,1))</f>
        <v>1</v>
      </c>
      <c r="D24" s="57">
        <f>IF(COUNTIF(Overwash_Matrix!$C:$C,2004)=0,"",COUNTIFS(Overwash_Matrix!$C:$C,2004,Overwash_Matrix!J:J,1))</f>
        <v>1</v>
      </c>
      <c r="E24" s="57">
        <f>IF(COUNTIF(Overwash_Matrix!$C:$C,2004)=0,"",COUNTIFS(Overwash_Matrix!$C:$C,2004,Overwash_Matrix!K:K,1))</f>
        <v>1</v>
      </c>
      <c r="F24" s="57">
        <f>IF(COUNTIF(Overwash_Matrix!$C:$C,2004)=0,"",COUNTIFS(Overwash_Matrix!$C:$C,2004,Overwash_Matrix!L:L,1))</f>
        <v>1</v>
      </c>
      <c r="G24" s="57">
        <f>IF(COUNTIF(Overwash_Matrix!$C:$C,2004)=0,"",COUNTIFS(Overwash_Matrix!$C:$C,2004,Overwash_Matrix!M:M,1))</f>
        <v>1</v>
      </c>
      <c r="H24" s="57">
        <f>IF(COUNTIF(Overwash_Matrix!$C:$C,2004)=0,"",COUNTIFS(Overwash_Matrix!$C:$C,2004,Overwash_Matrix!N:N,1))</f>
        <v>1</v>
      </c>
      <c r="I24" s="57">
        <f>IF(COUNTIF(Overwash_Matrix!$C:$C,2004)=0,"",COUNTIFS(Overwash_Matrix!$C:$C,2004,Overwash_Matrix!O:O,1))</f>
        <v>0</v>
      </c>
      <c r="J24" s="57">
        <f>IF(COUNTIF(Overwash_Matrix!$C:$C,2004)=0,"",COUNTIFS(Overwash_Matrix!$C:$C,2004,Overwash_Matrix!P:P,1))</f>
        <v>1</v>
      </c>
      <c r="K24" s="57">
        <f>IF(COUNTIF(Overwash_Matrix!$C:$C,2004)=0,"",COUNTIFS(Overwash_Matrix!$C:$C,2004,Overwash_Matrix!Q:Q,1))</f>
        <v>1</v>
      </c>
      <c r="L24" s="57">
        <f>IF(COUNTIF(Overwash_Matrix!$C:$C,2004)=0,"",COUNTIFS(Overwash_Matrix!$C:$C,2004,Overwash_Matrix!R:R,1))</f>
        <v>1</v>
      </c>
      <c r="M24" s="57">
        <f>IF(COUNTIF(Overwash_Matrix!$C:$C,2004)=0,"",COUNTIFS(Overwash_Matrix!$C:$C,2004,Overwash_Matrix!S:S,1))</f>
        <v>1</v>
      </c>
      <c r="N24" s="57">
        <f>IF(COUNTIF(Overwash_Matrix!$C:$C,2004)=0,"",COUNTIFS(Overwash_Matrix!$C:$C,2004,Overwash_Matrix!T:T,1))</f>
        <v>1</v>
      </c>
      <c r="O24" s="57">
        <f>IF(COUNTIF(Overwash_Matrix!$C:$C,2004)=0,"",COUNTIFS(Overwash_Matrix!$C:$C,2004,Overwash_Matrix!U:U,1))</f>
        <v>1</v>
      </c>
      <c r="P24" s="57">
        <f>IF(COUNTIF(Overwash_Matrix!$C:$C,2004)=0,"",COUNTIFS(Overwash_Matrix!$C:$C,2004,Overwash_Matrix!V:V,1))</f>
        <v>0</v>
      </c>
      <c r="Q24" s="57">
        <f>IF(COUNTIF(Overwash_Matrix!$C:$C,2004)=0,"",COUNTIFS(Overwash_Matrix!$C:$C,2004,Overwash_Matrix!W:W,1))</f>
        <v>0</v>
      </c>
      <c r="R24" s="57">
        <f>IF(COUNTIF(Overwash_Matrix!$C:$C,2004)=0,"",COUNTIFS(Overwash_Matrix!$C:$C,2004,Overwash_Matrix!X:X,1))</f>
        <v>1</v>
      </c>
      <c r="S24" s="57">
        <f>IF(COUNTIF(Overwash_Matrix!$C:$C,2004)=0,"",COUNTIFS(Overwash_Matrix!$C:$C,2004,Overwash_Matrix!Y:Y,1))</f>
        <v>1</v>
      </c>
      <c r="T24" s="57">
        <f>IF(COUNTIF(Overwash_Matrix!$C:$C,2004)=0,"",COUNTIFS(Overwash_Matrix!$C:$C,2004,Overwash_Matrix!Z:Z,1))</f>
        <v>1</v>
      </c>
      <c r="U24" s="57">
        <f>IF(COUNTIF(Overwash_Matrix!$C:$C,2004)=0,"",COUNTIFS(Overwash_Matrix!$C:$C,2004,Overwash_Matrix!AA:AA,1))</f>
        <v>0</v>
      </c>
      <c r="V24" s="57">
        <f>IF(COUNTIF(Overwash_Matrix!$C:$C,2004)=0,"",COUNTIFS(Overwash_Matrix!$C:$C,2004,Overwash_Matrix!AB:AB,1))</f>
        <v>0</v>
      </c>
      <c r="W24" s="57">
        <f>IF(COUNTIF(Overwash_Matrix!$C:$C,2004)=0,"",COUNTIFS(Overwash_Matrix!$C:$C,2004,Overwash_Matrix!AC:AC,1))</f>
        <v>0</v>
      </c>
      <c r="X24" s="57">
        <f>IF(COUNTIF(Overwash_Matrix!$C:$C,2004)=0,"",COUNTIFS(Overwash_Matrix!$C:$C,2004,Overwash_Matrix!AD:AD,1))</f>
        <v>0</v>
      </c>
      <c r="Y24" s="57">
        <f>IF(COUNTIF(Overwash_Matrix!$C:$C,2004)=0,"",COUNTIFS(Overwash_Matrix!$C:$C,2004,Overwash_Matrix!AE:AE,1))</f>
        <v>0</v>
      </c>
      <c r="Z24" s="57">
        <f>IF(COUNTIF(Overwash_Matrix!$C:$C,2004)=0,"",COUNTIFS(Overwash_Matrix!$C:$C,2004,Overwash_Matrix!AF:AF,1))</f>
        <v>0</v>
      </c>
      <c r="AA24" s="57">
        <f>IF(COUNTIF(Overwash_Matrix!$C:$C,2004)=0,"",COUNTIFS(Overwash_Matrix!$C:$C,2004,Overwash_Matrix!AG:AG,1))</f>
        <v>0</v>
      </c>
      <c r="AB24" s="57">
        <f>IF(COUNTIF(Overwash_Matrix!$C:$C,2004)=0,"",COUNTIFS(Overwash_Matrix!$C:$C,2004,Overwash_Matrix!AH:AH,1))</f>
        <v>1</v>
      </c>
      <c r="AC24" s="57">
        <f>IF(COUNTIF(Overwash_Matrix!$C:$C,2004)=0,"",COUNTIFS(Overwash_Matrix!$C:$C,2004,Overwash_Matrix!AI:AI,1))</f>
        <v>1</v>
      </c>
      <c r="AD24" s="57">
        <f>IF(COUNTIF(Overwash_Matrix!$C:$C,2004)=0,"",COUNTIFS(Overwash_Matrix!$C:$C,2004,Overwash_Matrix!AJ:AJ,1))</f>
        <v>0</v>
      </c>
      <c r="AE24" s="57">
        <f>IF(COUNTIF(Overwash_Matrix!$C:$C,2004)=0,"",COUNTIFS(Overwash_Matrix!$C:$C,2004,Overwash_Matrix!AK:AK,1))</f>
        <v>1</v>
      </c>
      <c r="AF24" s="57">
        <f>IF(COUNTIF(Overwash_Matrix!$C:$C,2004)=0,"",COUNTIFS(Overwash_Matrix!$C:$C,2004,Overwash_Matrix!AL:AL,1))</f>
        <v>0</v>
      </c>
      <c r="AG24" s="57">
        <f>IF(COUNTIF(Overwash_Matrix!$C:$C,2004)=0,"",COUNTIFS(Overwash_Matrix!$C:$C,2004,Overwash_Matrix!AM:AM,1))</f>
        <v>0</v>
      </c>
      <c r="AH24" s="57">
        <f>IF(COUNTIF(Overwash_Matrix!$C:$C,2004)=0,"",COUNTIFS(Overwash_Matrix!$C:$C,2004,Overwash_Matrix!AN:AN,1))</f>
        <v>0</v>
      </c>
      <c r="AI24" s="57">
        <f>IF(COUNTIF(Overwash_Matrix!$C:$C,2004)=0,"",COUNTIFS(Overwash_Matrix!$C:$C,2004,Overwash_Matrix!AO:AO,1))</f>
        <v>1</v>
      </c>
      <c r="AJ24" s="57">
        <f>IF(COUNTIF(Overwash_Matrix!$C:$C,2004)=0,"",COUNTIFS(Overwash_Matrix!$C:$C,2004,Overwash_Matrix!AP:AP,1))</f>
        <v>1</v>
      </c>
      <c r="AK24" s="57">
        <f>IF(COUNTIF(Overwash_Matrix!$C:$C,2004)=0,"",COUNTIFS(Overwash_Matrix!$C:$C,2004,Overwash_Matrix!AQ:AQ,1))</f>
        <v>1</v>
      </c>
      <c r="AL24" s="57">
        <f>IF(COUNTIF(Overwash_Matrix!$C:$C,2004)=0,"",COUNTIFS(Overwash_Matrix!$C:$C,2004,Overwash_Matrix!AR:AR,1))</f>
        <v>1</v>
      </c>
      <c r="AM24" s="57">
        <f>IF(COUNTIF(Overwash_Matrix!$C:$C,2004)=0,"",COUNTIFS(Overwash_Matrix!$C:$C,2004,Overwash_Matrix!AS:AS,1))</f>
        <v>1</v>
      </c>
      <c r="AN24" s="57">
        <f>IF(COUNTIF(Overwash_Matrix!$C:$C,2004)=0,"",COUNTIFS(Overwash_Matrix!$C:$C,2004,Overwash_Matrix!AT:AT,1))</f>
        <v>0</v>
      </c>
      <c r="AO24" s="57">
        <f>IF(COUNTIF(Overwash_Matrix!$C:$C,2004)=0,"",COUNTIFS(Overwash_Matrix!$C:$C,2004,Overwash_Matrix!AU:AU,1))</f>
        <v>0</v>
      </c>
      <c r="AP24" s="57">
        <f>IF(COUNTIF(Overwash_Matrix!$C:$C,2004)=0,"",COUNTIFS(Overwash_Matrix!$C:$C,2004,Overwash_Matrix!AV:AV,1))</f>
        <v>0</v>
      </c>
      <c r="AQ24" s="57">
        <f>IF(COUNTIF(Overwash_Matrix!$C:$C,2004)=0,"",COUNTIFS(Overwash_Matrix!$C:$C,2004,Overwash_Matrix!AW:AW,1))</f>
        <v>0</v>
      </c>
      <c r="AR24" s="57">
        <f>IF(COUNTIF(Overwash_Matrix!$C:$C,2004)=0,"",COUNTIFS(Overwash_Matrix!$C:$C,2004,Overwash_Matrix!AX:AX,1))</f>
        <v>0</v>
      </c>
      <c r="AS24" s="57">
        <f>IF(COUNTIF(Overwash_Matrix!$C:$C,2004)=0,"",COUNTIFS(Overwash_Matrix!$C:$C,2004,Overwash_Matrix!AY:AY,1))</f>
        <v>0</v>
      </c>
      <c r="AT24" s="57">
        <f>IF(COUNTIF(Overwash_Matrix!$C:$C,2004)=0,"",COUNTIFS(Overwash_Matrix!$C:$C,2004,Overwash_Matrix!AZ:AZ,1))</f>
        <v>0</v>
      </c>
      <c r="AU24" s="57">
        <f>IF(COUNTIF(Overwash_Matrix!$C:$C,2004)=0,"",COUNTIFS(Overwash_Matrix!$C:$C,2004,Overwash_Matrix!BA:BA,1))</f>
        <v>0</v>
      </c>
      <c r="AV24" s="57">
        <f>IF(COUNTIF(Overwash_Matrix!$C:$C,2004)=0,"",COUNTIFS(Overwash_Matrix!$C:$C,2004,Overwash_Matrix!BB:BB,1))</f>
        <v>1</v>
      </c>
      <c r="AW24" s="57">
        <f>IF(COUNTIF(Overwash_Matrix!$C:$C,2004)=0,"",COUNTIFS(Overwash_Matrix!$C:$C,2004,Overwash_Matrix!BC:BC,1))</f>
        <v>1</v>
      </c>
      <c r="AX24" s="57">
        <f>IF(COUNTIF(Overwash_Matrix!$C:$C,2004)=0,"",COUNTIFS(Overwash_Matrix!$C:$C,2004,Overwash_Matrix!BD:BD,1))</f>
        <v>1</v>
      </c>
      <c r="AY24" s="57">
        <f>IF(COUNTIF(Overwash_Matrix!$C:$C,2004)=0,"",COUNTIFS(Overwash_Matrix!$C:$C,2004,Overwash_Matrix!BE:BE,1))</f>
        <v>1</v>
      </c>
      <c r="AZ24" s="57">
        <f>IF(COUNTIF(Overwash_Matrix!$C:$C,2004)=0,"",COUNTIFS(Overwash_Matrix!$C:$C,2004,Overwash_Matrix!BF:BF,1))</f>
        <v>1</v>
      </c>
      <c r="BA24" s="57">
        <f>IF(COUNTIF(Overwash_Matrix!$C:$C,2004)=0,"",COUNTIFS(Overwash_Matrix!$C:$C,2004,Overwash_Matrix!BG:BG,1))</f>
        <v>1</v>
      </c>
      <c r="BB24" s="57">
        <f>IF(COUNTIF(Overwash_Matrix!$C:$C,2004)=0,"",COUNTIFS(Overwash_Matrix!$C:$C,2004,Overwash_Matrix!BH:BH,1))</f>
        <v>1</v>
      </c>
      <c r="BC24" s="57">
        <f>IF(COUNTIF(Overwash_Matrix!$C:$C,2004)=0,"",COUNTIFS(Overwash_Matrix!$C:$C,2004,Overwash_Matrix!BI:BI,1))</f>
        <v>1</v>
      </c>
      <c r="BD24" s="57">
        <f>IF(COUNTIF(Overwash_Matrix!$C:$C,2004)=0,"",COUNTIFS(Overwash_Matrix!$C:$C,2004,Overwash_Matrix!BJ:BJ,1))</f>
        <v>1</v>
      </c>
      <c r="BE24" s="57">
        <f>IF(COUNTIF(Overwash_Matrix!$C:$C,2004)=0,"",COUNTIFS(Overwash_Matrix!$C:$C,2004,Overwash_Matrix!BK:BK,1))</f>
        <v>1</v>
      </c>
      <c r="BF24" s="57">
        <f>IF(COUNTIF(Overwash_Matrix!$C:$C,2004)=0,"",COUNTIFS(Overwash_Matrix!$C:$C,2004,Overwash_Matrix!BL:BL,1))</f>
        <v>1</v>
      </c>
      <c r="BG24" s="57">
        <f>IF(COUNTIF(Overwash_Matrix!$C:$C,2004)=0,"",COUNTIFS(Overwash_Matrix!$C:$C,2004,Overwash_Matrix!BM:BM,1))</f>
        <v>1</v>
      </c>
      <c r="BH24" s="57">
        <f>IF(COUNTIF(Overwash_Matrix!$C:$C,2004)=0,"",COUNTIFS(Overwash_Matrix!$C:$C,2004,Overwash_Matrix!BN:BN,1))</f>
        <v>1</v>
      </c>
      <c r="BI24" s="57">
        <f>IF(COUNTIF(Overwash_Matrix!$C:$C,2004)=0,"",COUNTIFS(Overwash_Matrix!$C:$C,2004,Overwash_Matrix!BO:BO,1))</f>
        <v>0</v>
      </c>
      <c r="BJ24" s="57">
        <f>IF(COUNTIF(Overwash_Matrix!$C:$C,2004)=0,"",COUNTIFS(Overwash_Matrix!$C:$C,2004,Overwash_Matrix!BP:BP,1))</f>
        <v>0</v>
      </c>
      <c r="BK24" s="57">
        <f>IF(COUNTIF(Overwash_Matrix!$C:$C,2004)=0,"",COUNTIFS(Overwash_Matrix!$C:$C,2004,Overwash_Matrix!BQ:BQ,1))</f>
        <v>0</v>
      </c>
      <c r="BL24" s="57">
        <f>IF(COUNTIF(Overwash_Matrix!$C:$C,2004)=0,"",COUNTIFS(Overwash_Matrix!$C:$C,2004,Overwash_Matrix!BR:BR,1))</f>
        <v>0</v>
      </c>
      <c r="BM24" s="57">
        <f>IF(COUNTIF(Overwash_Matrix!$C:$C,2004)=0,"",COUNTIFS(Overwash_Matrix!$C:$C,2004,Overwash_Matrix!BS:BS,1))</f>
        <v>0</v>
      </c>
      <c r="BN24" s="57">
        <f>IF(COUNTIF(Overwash_Matrix!$C:$C,2004)=0,"",COUNTIFS(Overwash_Matrix!$C:$C,2004,Overwash_Matrix!BT:BT,1))</f>
        <v>0</v>
      </c>
      <c r="BO24" s="57">
        <f>IF(COUNTIF(Overwash_Matrix!$C:$C,2004)=0,"",COUNTIFS(Overwash_Matrix!$C:$C,2004,Overwash_Matrix!BU:BU,1))</f>
        <v>0</v>
      </c>
      <c r="BP24" s="57">
        <f>IF(COUNTIF(Overwash_Matrix!$C:$C,2004)=0,"",COUNTIFS(Overwash_Matrix!$C:$C,2004,Overwash_Matrix!BV:BV,1))</f>
        <v>1</v>
      </c>
      <c r="BQ24" s="57">
        <f>IF(COUNTIF(Overwash_Matrix!$C:$C,2004)=0,"",COUNTIFS(Overwash_Matrix!$C:$C,2004,Overwash_Matrix!BW:BW,1))</f>
        <v>1</v>
      </c>
      <c r="BR24" s="57">
        <f>IF(COUNTIF(Overwash_Matrix!$C:$C,2004)=0,"",COUNTIFS(Overwash_Matrix!$C:$C,2004,Overwash_Matrix!BX:BX,1))</f>
        <v>0</v>
      </c>
      <c r="BS24" s="57">
        <f>IF(COUNTIF(Overwash_Matrix!$C:$C,2004)=0,"",COUNTIFS(Overwash_Matrix!$C:$C,2004,Overwash_Matrix!BY:BY,1))</f>
        <v>0</v>
      </c>
      <c r="BT24" s="57">
        <f>IF(COUNTIF(Overwash_Matrix!$C:$C,2004)=0,"",COUNTIFS(Overwash_Matrix!$C:$C,2004,Overwash_Matrix!BZ:BZ,1))</f>
        <v>0</v>
      </c>
      <c r="BU24" s="57">
        <f>IF(COUNTIF(Overwash_Matrix!$C:$C,2004)=0,"",COUNTIFS(Overwash_Matrix!$C:$C,2004,Overwash_Matrix!CA:CA,1))</f>
        <v>0</v>
      </c>
      <c r="BV24" s="57">
        <f>IF(COUNTIF(Overwash_Matrix!$C:$C,2004)=0,"",COUNTIFS(Overwash_Matrix!$C:$C,2004,Overwash_Matrix!CB:CB,1))</f>
        <v>0</v>
      </c>
      <c r="BW24" s="57">
        <f>IF(COUNTIF(Overwash_Matrix!$C:$C,2004)=0,"",COUNTIFS(Overwash_Matrix!$C:$C,2004,Overwash_Matrix!CC:CC,1))</f>
        <v>0</v>
      </c>
      <c r="BX24" s="57">
        <f>IF(COUNTIF(Overwash_Matrix!$C:$C,2004)=0,"",COUNTIFS(Overwash_Matrix!$C:$C,2004,Overwash_Matrix!CD:CD,1))</f>
        <v>0</v>
      </c>
      <c r="BY24" s="57">
        <f>IF(COUNTIF(Overwash_Matrix!$C:$C,2004)=0,"",COUNTIFS(Overwash_Matrix!$C:$C,2004,Overwash_Matrix!CE:CE,1))</f>
        <v>0</v>
      </c>
      <c r="BZ24" s="57">
        <f>IF(COUNTIF(Overwash_Matrix!$C:$C,2004)=0,"",COUNTIFS(Overwash_Matrix!$C:$C,2004,Overwash_Matrix!CF:CF,1))</f>
        <v>1</v>
      </c>
      <c r="CA24" s="57">
        <f>IF(COUNTIF(Overwash_Matrix!$C:$C,2004)=0,"",COUNTIFS(Overwash_Matrix!$C:$C,2004,Overwash_Matrix!CG:CG,1))</f>
        <v>1</v>
      </c>
      <c r="CB24" s="57">
        <f>IF(COUNTIF(Overwash_Matrix!$C:$C,2004)=0,"",COUNTIFS(Overwash_Matrix!$C:$C,2004,Overwash_Matrix!CH:CH,1))</f>
        <v>1</v>
      </c>
      <c r="CC24" s="57">
        <f>IF(COUNTIF(Overwash_Matrix!$C:$C,2004)=0,"",COUNTIFS(Overwash_Matrix!$C:$C,2004,Overwash_Matrix!CI:CI,1))</f>
        <v>1</v>
      </c>
      <c r="CD24" s="57">
        <f>IF(COUNTIF(Overwash_Matrix!$C:$C,2004)=0,"",COUNTIFS(Overwash_Matrix!$C:$C,2004,Overwash_Matrix!CJ:CJ,1))</f>
        <v>1</v>
      </c>
      <c r="CE24" s="57">
        <f>IF(COUNTIF(Overwash_Matrix!$C:$C,2004)=0,"",COUNTIFS(Overwash_Matrix!$C:$C,2004,Overwash_Matrix!CK:CK,1))</f>
        <v>1</v>
      </c>
      <c r="CF24" s="57">
        <f>IF(COUNTIF(Overwash_Matrix!$C:$C,2004)=0,"",COUNTIFS(Overwash_Matrix!$C:$C,2004,Overwash_Matrix!CL:CL,1))</f>
        <v>1</v>
      </c>
      <c r="CG24" s="57">
        <f>IF(COUNTIF(Overwash_Matrix!$C:$C,2004)=0,"",COUNTIFS(Overwash_Matrix!$C:$C,2004,Overwash_Matrix!CM:CM,1))</f>
        <v>1</v>
      </c>
      <c r="CH24" s="57">
        <f>IF(COUNTIF(Overwash_Matrix!$C:$C,2004)=0,"",COUNTIFS(Overwash_Matrix!$C:$C,2004,Overwash_Matrix!CN:CN,1))</f>
        <v>1</v>
      </c>
      <c r="CI24" s="57">
        <f>IF(COUNTIF(Overwash_Matrix!$C:$C,2004)=0,"",COUNTIFS(Overwash_Matrix!$C:$C,2004,Overwash_Matrix!CO:CO,1))</f>
        <v>1</v>
      </c>
      <c r="CJ24" s="57">
        <f>IF(COUNTIF(Overwash_Matrix!$C:$C,2004)=0,"",COUNTIFS(Overwash_Matrix!$C:$C,2004,Overwash_Matrix!CP:CP,1))</f>
        <v>1</v>
      </c>
      <c r="CK24" s="57">
        <f>IF(COUNTIF(Overwash_Matrix!$C:$C,2004)=0,"",COUNTIFS(Overwash_Matrix!$C:$C,2004,Overwash_Matrix!CQ:CQ,1))</f>
        <v>1</v>
      </c>
      <c r="CL24" s="57">
        <f>IF(COUNTIF(Overwash_Matrix!$C:$C,2004)=0,"",COUNTIFS(Overwash_Matrix!$C:$C,2004,Overwash_Matrix!CR:CR,1))</f>
        <v>1</v>
      </c>
      <c r="CM24" s="57">
        <f>IF(COUNTIF(Overwash_Matrix!$C:$C,2004)=0,"",COUNTIFS(Overwash_Matrix!$C:$C,2004,Overwash_Matrix!CS:CS,1))</f>
        <v>0</v>
      </c>
      <c r="CN24" s="57">
        <f>IF(COUNTIF(Overwash_Matrix!$C:$C,2004)=0,"",COUNTIFS(Overwash_Matrix!$C:$C,2004,Overwash_Matrix!CT:CT,1))</f>
        <v>0</v>
      </c>
    </row>
    <row r="25" ht="13.5" customHeight="1">
      <c r="A25" s="88">
        <v>2005.0</v>
      </c>
      <c r="B25" s="89">
        <f>COUNTIF(Overwash_Matrix!$C:$C,2005)</f>
        <v>0</v>
      </c>
      <c r="C25" s="53" t="str">
        <f>IF(COUNTIF(Overwash_Matrix!$C:$C,2005)=0,"",COUNTIFS(Overwash_Matrix!$C:$C,2005,Overwash_Matrix!I:I,1))</f>
        <v/>
      </c>
      <c r="D25" s="53" t="str">
        <f>IF(COUNTIF(Overwash_Matrix!$C:$C,2005)=0,"",COUNTIFS(Overwash_Matrix!$C:$C,2005,Overwash_Matrix!J:J,1))</f>
        <v/>
      </c>
      <c r="E25" s="53" t="str">
        <f>IF(COUNTIF(Overwash_Matrix!$C:$C,2005)=0,"",COUNTIFS(Overwash_Matrix!$C:$C,2005,Overwash_Matrix!K:K,1))</f>
        <v/>
      </c>
      <c r="F25" s="53" t="str">
        <f>IF(COUNTIF(Overwash_Matrix!$C:$C,2005)=0,"",COUNTIFS(Overwash_Matrix!$C:$C,2005,Overwash_Matrix!L:L,1))</f>
        <v/>
      </c>
      <c r="G25" s="53" t="str">
        <f>IF(COUNTIF(Overwash_Matrix!$C:$C,2005)=0,"",COUNTIFS(Overwash_Matrix!$C:$C,2005,Overwash_Matrix!M:M,1))</f>
        <v/>
      </c>
      <c r="H25" s="53" t="str">
        <f>IF(COUNTIF(Overwash_Matrix!$C:$C,2005)=0,"",COUNTIFS(Overwash_Matrix!$C:$C,2005,Overwash_Matrix!N:N,1))</f>
        <v/>
      </c>
      <c r="I25" s="53" t="str">
        <f>IF(COUNTIF(Overwash_Matrix!$C:$C,2005)=0,"",COUNTIFS(Overwash_Matrix!$C:$C,2005,Overwash_Matrix!O:O,1))</f>
        <v/>
      </c>
      <c r="J25" s="53" t="str">
        <f>IF(COUNTIF(Overwash_Matrix!$C:$C,2005)=0,"",COUNTIFS(Overwash_Matrix!$C:$C,2005,Overwash_Matrix!P:P,1))</f>
        <v/>
      </c>
      <c r="K25" s="53" t="str">
        <f>IF(COUNTIF(Overwash_Matrix!$C:$C,2005)=0,"",COUNTIFS(Overwash_Matrix!$C:$C,2005,Overwash_Matrix!Q:Q,1))</f>
        <v/>
      </c>
      <c r="L25" s="53" t="str">
        <f>IF(COUNTIF(Overwash_Matrix!$C:$C,2005)=0,"",COUNTIFS(Overwash_Matrix!$C:$C,2005,Overwash_Matrix!R:R,1))</f>
        <v/>
      </c>
      <c r="M25" s="53" t="str">
        <f>IF(COUNTIF(Overwash_Matrix!$C:$C,2005)=0,"",COUNTIFS(Overwash_Matrix!$C:$C,2005,Overwash_Matrix!S:S,1))</f>
        <v/>
      </c>
      <c r="N25" s="53" t="str">
        <f>IF(COUNTIF(Overwash_Matrix!$C:$C,2005)=0,"",COUNTIFS(Overwash_Matrix!$C:$C,2005,Overwash_Matrix!T:T,1))</f>
        <v/>
      </c>
      <c r="O25" s="53" t="str">
        <f>IF(COUNTIF(Overwash_Matrix!$C:$C,2005)=0,"",COUNTIFS(Overwash_Matrix!$C:$C,2005,Overwash_Matrix!U:U,1))</f>
        <v/>
      </c>
      <c r="P25" s="53" t="str">
        <f>IF(COUNTIF(Overwash_Matrix!$C:$C,2005)=0,"",COUNTIFS(Overwash_Matrix!$C:$C,2005,Overwash_Matrix!V:V,1))</f>
        <v/>
      </c>
      <c r="Q25" s="53" t="str">
        <f>IF(COUNTIF(Overwash_Matrix!$C:$C,2005)=0,"",COUNTIFS(Overwash_Matrix!$C:$C,2005,Overwash_Matrix!W:W,1))</f>
        <v/>
      </c>
      <c r="R25" s="53" t="str">
        <f>IF(COUNTIF(Overwash_Matrix!$C:$C,2005)=0,"",COUNTIFS(Overwash_Matrix!$C:$C,2005,Overwash_Matrix!X:X,1))</f>
        <v/>
      </c>
      <c r="S25" s="53" t="str">
        <f>IF(COUNTIF(Overwash_Matrix!$C:$C,2005)=0,"",COUNTIFS(Overwash_Matrix!$C:$C,2005,Overwash_Matrix!Y:Y,1))</f>
        <v/>
      </c>
      <c r="T25" s="53" t="str">
        <f>IF(COUNTIF(Overwash_Matrix!$C:$C,2005)=0,"",COUNTIFS(Overwash_Matrix!$C:$C,2005,Overwash_Matrix!Z:Z,1))</f>
        <v/>
      </c>
      <c r="U25" s="53" t="str">
        <f>IF(COUNTIF(Overwash_Matrix!$C:$C,2005)=0,"",COUNTIFS(Overwash_Matrix!$C:$C,2005,Overwash_Matrix!AA:AA,1))</f>
        <v/>
      </c>
      <c r="V25" s="53" t="str">
        <f>IF(COUNTIF(Overwash_Matrix!$C:$C,2005)=0,"",COUNTIFS(Overwash_Matrix!$C:$C,2005,Overwash_Matrix!AB:AB,1))</f>
        <v/>
      </c>
      <c r="W25" s="53" t="str">
        <f>IF(COUNTIF(Overwash_Matrix!$C:$C,2005)=0,"",COUNTIFS(Overwash_Matrix!$C:$C,2005,Overwash_Matrix!AC:AC,1))</f>
        <v/>
      </c>
      <c r="X25" s="53" t="str">
        <f>IF(COUNTIF(Overwash_Matrix!$C:$C,2005)=0,"",COUNTIFS(Overwash_Matrix!$C:$C,2005,Overwash_Matrix!AD:AD,1))</f>
        <v/>
      </c>
      <c r="Y25" s="53" t="str">
        <f>IF(COUNTIF(Overwash_Matrix!$C:$C,2005)=0,"",COUNTIFS(Overwash_Matrix!$C:$C,2005,Overwash_Matrix!AE:AE,1))</f>
        <v/>
      </c>
      <c r="Z25" s="53" t="str">
        <f>IF(COUNTIF(Overwash_Matrix!$C:$C,2005)=0,"",COUNTIFS(Overwash_Matrix!$C:$C,2005,Overwash_Matrix!AF:AF,1))</f>
        <v/>
      </c>
      <c r="AA25" s="53" t="str">
        <f>IF(COUNTIF(Overwash_Matrix!$C:$C,2005)=0,"",COUNTIFS(Overwash_Matrix!$C:$C,2005,Overwash_Matrix!AG:AG,1))</f>
        <v/>
      </c>
      <c r="AB25" s="53" t="str">
        <f>IF(COUNTIF(Overwash_Matrix!$C:$C,2005)=0,"",COUNTIFS(Overwash_Matrix!$C:$C,2005,Overwash_Matrix!AH:AH,1))</f>
        <v/>
      </c>
      <c r="AC25" s="53" t="str">
        <f>IF(COUNTIF(Overwash_Matrix!$C:$C,2005)=0,"",COUNTIFS(Overwash_Matrix!$C:$C,2005,Overwash_Matrix!AI:AI,1))</f>
        <v/>
      </c>
      <c r="AD25" s="53" t="str">
        <f>IF(COUNTIF(Overwash_Matrix!$C:$C,2005)=0,"",COUNTIFS(Overwash_Matrix!$C:$C,2005,Overwash_Matrix!AJ:AJ,1))</f>
        <v/>
      </c>
      <c r="AE25" s="53" t="str">
        <f>IF(COUNTIF(Overwash_Matrix!$C:$C,2005)=0,"",COUNTIFS(Overwash_Matrix!$C:$C,2005,Overwash_Matrix!AK:AK,1))</f>
        <v/>
      </c>
      <c r="AF25" s="53" t="str">
        <f>IF(COUNTIF(Overwash_Matrix!$C:$C,2005)=0,"",COUNTIFS(Overwash_Matrix!$C:$C,2005,Overwash_Matrix!AL:AL,1))</f>
        <v/>
      </c>
      <c r="AG25" s="53" t="str">
        <f>IF(COUNTIF(Overwash_Matrix!$C:$C,2005)=0,"",COUNTIFS(Overwash_Matrix!$C:$C,2005,Overwash_Matrix!AM:AM,1))</f>
        <v/>
      </c>
      <c r="AH25" s="53" t="str">
        <f>IF(COUNTIF(Overwash_Matrix!$C:$C,2005)=0,"",COUNTIFS(Overwash_Matrix!$C:$C,2005,Overwash_Matrix!AN:AN,1))</f>
        <v/>
      </c>
      <c r="AI25" s="53" t="str">
        <f>IF(COUNTIF(Overwash_Matrix!$C:$C,2005)=0,"",COUNTIFS(Overwash_Matrix!$C:$C,2005,Overwash_Matrix!AO:AO,1))</f>
        <v/>
      </c>
      <c r="AJ25" s="53" t="str">
        <f>IF(COUNTIF(Overwash_Matrix!$C:$C,2005)=0,"",COUNTIFS(Overwash_Matrix!$C:$C,2005,Overwash_Matrix!AP:AP,1))</f>
        <v/>
      </c>
      <c r="AK25" s="53" t="str">
        <f>IF(COUNTIF(Overwash_Matrix!$C:$C,2005)=0,"",COUNTIFS(Overwash_Matrix!$C:$C,2005,Overwash_Matrix!AQ:AQ,1))</f>
        <v/>
      </c>
      <c r="AL25" s="53" t="str">
        <f>IF(COUNTIF(Overwash_Matrix!$C:$C,2005)=0,"",COUNTIFS(Overwash_Matrix!$C:$C,2005,Overwash_Matrix!AR:AR,1))</f>
        <v/>
      </c>
      <c r="AM25" s="53" t="str">
        <f>IF(COUNTIF(Overwash_Matrix!$C:$C,2005)=0,"",COUNTIFS(Overwash_Matrix!$C:$C,2005,Overwash_Matrix!AS:AS,1))</f>
        <v/>
      </c>
      <c r="AN25" s="53" t="str">
        <f>IF(COUNTIF(Overwash_Matrix!$C:$C,2005)=0,"",COUNTIFS(Overwash_Matrix!$C:$C,2005,Overwash_Matrix!AT:AT,1))</f>
        <v/>
      </c>
      <c r="AO25" s="53" t="str">
        <f>IF(COUNTIF(Overwash_Matrix!$C:$C,2005)=0,"",COUNTIFS(Overwash_Matrix!$C:$C,2005,Overwash_Matrix!AU:AU,1))</f>
        <v/>
      </c>
      <c r="AP25" s="53" t="str">
        <f>IF(COUNTIF(Overwash_Matrix!$C:$C,2005)=0,"",COUNTIFS(Overwash_Matrix!$C:$C,2005,Overwash_Matrix!AV:AV,1))</f>
        <v/>
      </c>
      <c r="AQ25" s="53" t="str">
        <f>IF(COUNTIF(Overwash_Matrix!$C:$C,2005)=0,"",COUNTIFS(Overwash_Matrix!$C:$C,2005,Overwash_Matrix!AW:AW,1))</f>
        <v/>
      </c>
      <c r="AR25" s="53" t="str">
        <f>IF(COUNTIF(Overwash_Matrix!$C:$C,2005)=0,"",COUNTIFS(Overwash_Matrix!$C:$C,2005,Overwash_Matrix!AX:AX,1))</f>
        <v/>
      </c>
      <c r="AS25" s="53" t="str">
        <f>IF(COUNTIF(Overwash_Matrix!$C:$C,2005)=0,"",COUNTIFS(Overwash_Matrix!$C:$C,2005,Overwash_Matrix!AY:AY,1))</f>
        <v/>
      </c>
      <c r="AT25" s="53" t="str">
        <f>IF(COUNTIF(Overwash_Matrix!$C:$C,2005)=0,"",COUNTIFS(Overwash_Matrix!$C:$C,2005,Overwash_Matrix!AZ:AZ,1))</f>
        <v/>
      </c>
      <c r="AU25" s="53" t="str">
        <f>IF(COUNTIF(Overwash_Matrix!$C:$C,2005)=0,"",COUNTIFS(Overwash_Matrix!$C:$C,2005,Overwash_Matrix!BA:BA,1))</f>
        <v/>
      </c>
      <c r="AV25" s="53" t="str">
        <f>IF(COUNTIF(Overwash_Matrix!$C:$C,2005)=0,"",COUNTIFS(Overwash_Matrix!$C:$C,2005,Overwash_Matrix!BB:BB,1))</f>
        <v/>
      </c>
      <c r="AW25" s="53" t="str">
        <f>IF(COUNTIF(Overwash_Matrix!$C:$C,2005)=0,"",COUNTIFS(Overwash_Matrix!$C:$C,2005,Overwash_Matrix!BC:BC,1))</f>
        <v/>
      </c>
      <c r="AX25" s="53" t="str">
        <f>IF(COUNTIF(Overwash_Matrix!$C:$C,2005)=0,"",COUNTIFS(Overwash_Matrix!$C:$C,2005,Overwash_Matrix!BD:BD,1))</f>
        <v/>
      </c>
      <c r="AY25" s="53" t="str">
        <f>IF(COUNTIF(Overwash_Matrix!$C:$C,2005)=0,"",COUNTIFS(Overwash_Matrix!$C:$C,2005,Overwash_Matrix!BE:BE,1))</f>
        <v/>
      </c>
      <c r="AZ25" s="53" t="str">
        <f>IF(COUNTIF(Overwash_Matrix!$C:$C,2005)=0,"",COUNTIFS(Overwash_Matrix!$C:$C,2005,Overwash_Matrix!BF:BF,1))</f>
        <v/>
      </c>
      <c r="BA25" s="53" t="str">
        <f>IF(COUNTIF(Overwash_Matrix!$C:$C,2005)=0,"",COUNTIFS(Overwash_Matrix!$C:$C,2005,Overwash_Matrix!BG:BG,1))</f>
        <v/>
      </c>
      <c r="BB25" s="53" t="str">
        <f>IF(COUNTIF(Overwash_Matrix!$C:$C,2005)=0,"",COUNTIFS(Overwash_Matrix!$C:$C,2005,Overwash_Matrix!BH:BH,1))</f>
        <v/>
      </c>
      <c r="BC25" s="53" t="str">
        <f>IF(COUNTIF(Overwash_Matrix!$C:$C,2005)=0,"",COUNTIFS(Overwash_Matrix!$C:$C,2005,Overwash_Matrix!BI:BI,1))</f>
        <v/>
      </c>
      <c r="BD25" s="53" t="str">
        <f>IF(COUNTIF(Overwash_Matrix!$C:$C,2005)=0,"",COUNTIFS(Overwash_Matrix!$C:$C,2005,Overwash_Matrix!BJ:BJ,1))</f>
        <v/>
      </c>
      <c r="BE25" s="53" t="str">
        <f>IF(COUNTIF(Overwash_Matrix!$C:$C,2005)=0,"",COUNTIFS(Overwash_Matrix!$C:$C,2005,Overwash_Matrix!BK:BK,1))</f>
        <v/>
      </c>
      <c r="BF25" s="53" t="str">
        <f>IF(COUNTIF(Overwash_Matrix!$C:$C,2005)=0,"",COUNTIFS(Overwash_Matrix!$C:$C,2005,Overwash_Matrix!BL:BL,1))</f>
        <v/>
      </c>
      <c r="BG25" s="53" t="str">
        <f>IF(COUNTIF(Overwash_Matrix!$C:$C,2005)=0,"",COUNTIFS(Overwash_Matrix!$C:$C,2005,Overwash_Matrix!BM:BM,1))</f>
        <v/>
      </c>
      <c r="BH25" s="53" t="str">
        <f>IF(COUNTIF(Overwash_Matrix!$C:$C,2005)=0,"",COUNTIFS(Overwash_Matrix!$C:$C,2005,Overwash_Matrix!BN:BN,1))</f>
        <v/>
      </c>
      <c r="BI25" s="53" t="str">
        <f>IF(COUNTIF(Overwash_Matrix!$C:$C,2005)=0,"",COUNTIFS(Overwash_Matrix!$C:$C,2005,Overwash_Matrix!BO:BO,1))</f>
        <v/>
      </c>
      <c r="BJ25" s="53" t="str">
        <f>IF(COUNTIF(Overwash_Matrix!$C:$C,2005)=0,"",COUNTIFS(Overwash_Matrix!$C:$C,2005,Overwash_Matrix!BP:BP,1))</f>
        <v/>
      </c>
      <c r="BK25" s="53" t="str">
        <f>IF(COUNTIF(Overwash_Matrix!$C:$C,2005)=0,"",COUNTIFS(Overwash_Matrix!$C:$C,2005,Overwash_Matrix!BQ:BQ,1))</f>
        <v/>
      </c>
      <c r="BL25" s="53" t="str">
        <f>IF(COUNTIF(Overwash_Matrix!$C:$C,2005)=0,"",COUNTIFS(Overwash_Matrix!$C:$C,2005,Overwash_Matrix!BR:BR,1))</f>
        <v/>
      </c>
      <c r="BM25" s="53" t="str">
        <f>IF(COUNTIF(Overwash_Matrix!$C:$C,2005)=0,"",COUNTIFS(Overwash_Matrix!$C:$C,2005,Overwash_Matrix!BS:BS,1))</f>
        <v/>
      </c>
      <c r="BN25" s="53" t="str">
        <f>IF(COUNTIF(Overwash_Matrix!$C:$C,2005)=0,"",COUNTIFS(Overwash_Matrix!$C:$C,2005,Overwash_Matrix!BT:BT,1))</f>
        <v/>
      </c>
      <c r="BO25" s="53" t="str">
        <f>IF(COUNTIF(Overwash_Matrix!$C:$C,2005)=0,"",COUNTIFS(Overwash_Matrix!$C:$C,2005,Overwash_Matrix!BU:BU,1))</f>
        <v/>
      </c>
      <c r="BP25" s="53" t="str">
        <f>IF(COUNTIF(Overwash_Matrix!$C:$C,2005)=0,"",COUNTIFS(Overwash_Matrix!$C:$C,2005,Overwash_Matrix!BV:BV,1))</f>
        <v/>
      </c>
      <c r="BQ25" s="53" t="str">
        <f>IF(COUNTIF(Overwash_Matrix!$C:$C,2005)=0,"",COUNTIFS(Overwash_Matrix!$C:$C,2005,Overwash_Matrix!BW:BW,1))</f>
        <v/>
      </c>
      <c r="BR25" s="53" t="str">
        <f>IF(COUNTIF(Overwash_Matrix!$C:$C,2005)=0,"",COUNTIFS(Overwash_Matrix!$C:$C,2005,Overwash_Matrix!BX:BX,1))</f>
        <v/>
      </c>
      <c r="BS25" s="53" t="str">
        <f>IF(COUNTIF(Overwash_Matrix!$C:$C,2005)=0,"",COUNTIFS(Overwash_Matrix!$C:$C,2005,Overwash_Matrix!BY:BY,1))</f>
        <v/>
      </c>
      <c r="BT25" s="53" t="str">
        <f>IF(COUNTIF(Overwash_Matrix!$C:$C,2005)=0,"",COUNTIFS(Overwash_Matrix!$C:$C,2005,Overwash_Matrix!BZ:BZ,1))</f>
        <v/>
      </c>
      <c r="BU25" s="53" t="str">
        <f>IF(COUNTIF(Overwash_Matrix!$C:$C,2005)=0,"",COUNTIFS(Overwash_Matrix!$C:$C,2005,Overwash_Matrix!CA:CA,1))</f>
        <v/>
      </c>
      <c r="BV25" s="53" t="str">
        <f>IF(COUNTIF(Overwash_Matrix!$C:$C,2005)=0,"",COUNTIFS(Overwash_Matrix!$C:$C,2005,Overwash_Matrix!CB:CB,1))</f>
        <v/>
      </c>
      <c r="BW25" s="53" t="str">
        <f>IF(COUNTIF(Overwash_Matrix!$C:$C,2005)=0,"",COUNTIFS(Overwash_Matrix!$C:$C,2005,Overwash_Matrix!CC:CC,1))</f>
        <v/>
      </c>
      <c r="BX25" s="53" t="str">
        <f>IF(COUNTIF(Overwash_Matrix!$C:$C,2005)=0,"",COUNTIFS(Overwash_Matrix!$C:$C,2005,Overwash_Matrix!CD:CD,1))</f>
        <v/>
      </c>
      <c r="BY25" s="53" t="str">
        <f>IF(COUNTIF(Overwash_Matrix!$C:$C,2005)=0,"",COUNTIFS(Overwash_Matrix!$C:$C,2005,Overwash_Matrix!CE:CE,1))</f>
        <v/>
      </c>
      <c r="BZ25" s="53" t="str">
        <f>IF(COUNTIF(Overwash_Matrix!$C:$C,2005)=0,"",COUNTIFS(Overwash_Matrix!$C:$C,2005,Overwash_Matrix!CF:CF,1))</f>
        <v/>
      </c>
      <c r="CA25" s="53" t="str">
        <f>IF(COUNTIF(Overwash_Matrix!$C:$C,2005)=0,"",COUNTIFS(Overwash_Matrix!$C:$C,2005,Overwash_Matrix!CG:CG,1))</f>
        <v/>
      </c>
      <c r="CB25" s="53" t="str">
        <f>IF(COUNTIF(Overwash_Matrix!$C:$C,2005)=0,"",COUNTIFS(Overwash_Matrix!$C:$C,2005,Overwash_Matrix!CH:CH,1))</f>
        <v/>
      </c>
      <c r="CC25" s="53" t="str">
        <f>IF(COUNTIF(Overwash_Matrix!$C:$C,2005)=0,"",COUNTIFS(Overwash_Matrix!$C:$C,2005,Overwash_Matrix!CI:CI,1))</f>
        <v/>
      </c>
      <c r="CD25" s="53" t="str">
        <f>IF(COUNTIF(Overwash_Matrix!$C:$C,2005)=0,"",COUNTIFS(Overwash_Matrix!$C:$C,2005,Overwash_Matrix!CJ:CJ,1))</f>
        <v/>
      </c>
      <c r="CE25" s="53" t="str">
        <f>IF(COUNTIF(Overwash_Matrix!$C:$C,2005)=0,"",COUNTIFS(Overwash_Matrix!$C:$C,2005,Overwash_Matrix!CK:CK,1))</f>
        <v/>
      </c>
      <c r="CF25" s="53" t="str">
        <f>IF(COUNTIF(Overwash_Matrix!$C:$C,2005)=0,"",COUNTIFS(Overwash_Matrix!$C:$C,2005,Overwash_Matrix!CL:CL,1))</f>
        <v/>
      </c>
      <c r="CG25" s="53" t="str">
        <f>IF(COUNTIF(Overwash_Matrix!$C:$C,2005)=0,"",COUNTIFS(Overwash_Matrix!$C:$C,2005,Overwash_Matrix!CM:CM,1))</f>
        <v/>
      </c>
      <c r="CH25" s="53" t="str">
        <f>IF(COUNTIF(Overwash_Matrix!$C:$C,2005)=0,"",COUNTIFS(Overwash_Matrix!$C:$C,2005,Overwash_Matrix!CN:CN,1))</f>
        <v/>
      </c>
      <c r="CI25" s="53" t="str">
        <f>IF(COUNTIF(Overwash_Matrix!$C:$C,2005)=0,"",COUNTIFS(Overwash_Matrix!$C:$C,2005,Overwash_Matrix!CO:CO,1))</f>
        <v/>
      </c>
      <c r="CJ25" s="53" t="str">
        <f>IF(COUNTIF(Overwash_Matrix!$C:$C,2005)=0,"",COUNTIFS(Overwash_Matrix!$C:$C,2005,Overwash_Matrix!CP:CP,1))</f>
        <v/>
      </c>
      <c r="CK25" s="53" t="str">
        <f>IF(COUNTIF(Overwash_Matrix!$C:$C,2005)=0,"",COUNTIFS(Overwash_Matrix!$C:$C,2005,Overwash_Matrix!CQ:CQ,1))</f>
        <v/>
      </c>
      <c r="CL25" s="53" t="str">
        <f>IF(COUNTIF(Overwash_Matrix!$C:$C,2005)=0,"",COUNTIFS(Overwash_Matrix!$C:$C,2005,Overwash_Matrix!CR:CR,1))</f>
        <v/>
      </c>
      <c r="CM25" s="53" t="str">
        <f>IF(COUNTIF(Overwash_Matrix!$C:$C,2005)=0,"",COUNTIFS(Overwash_Matrix!$C:$C,2005,Overwash_Matrix!CS:CS,1))</f>
        <v/>
      </c>
      <c r="CN25" s="53" t="str">
        <f>IF(COUNTIF(Overwash_Matrix!$C:$C,2005)=0,"",COUNTIFS(Overwash_Matrix!$C:$C,2005,Overwash_Matrix!CT:CT,1))</f>
        <v/>
      </c>
    </row>
    <row r="26" ht="13.5" customHeight="1">
      <c r="A26" s="86">
        <v>2006.0</v>
      </c>
      <c r="B26" s="87">
        <f>COUNTIF(Overwash_Matrix!$C:$C,2006)</f>
        <v>0</v>
      </c>
      <c r="C26" s="57" t="str">
        <f>IF(COUNTIF(Overwash_Matrix!$C:$C,2006)=0,"",COUNTIFS(Overwash_Matrix!$C:$C,2006,Overwash_Matrix!I:I,1))</f>
        <v/>
      </c>
      <c r="D26" s="57" t="str">
        <f>IF(COUNTIF(Overwash_Matrix!$C:$C,2006)=0,"",COUNTIFS(Overwash_Matrix!$C:$C,2006,Overwash_Matrix!J:J,1))</f>
        <v/>
      </c>
      <c r="E26" s="57" t="str">
        <f>IF(COUNTIF(Overwash_Matrix!$C:$C,2006)=0,"",COUNTIFS(Overwash_Matrix!$C:$C,2006,Overwash_Matrix!K:K,1))</f>
        <v/>
      </c>
      <c r="F26" s="57" t="str">
        <f>IF(COUNTIF(Overwash_Matrix!$C:$C,2006)=0,"",COUNTIFS(Overwash_Matrix!$C:$C,2006,Overwash_Matrix!L:L,1))</f>
        <v/>
      </c>
      <c r="G26" s="57" t="str">
        <f>IF(COUNTIF(Overwash_Matrix!$C:$C,2006)=0,"",COUNTIFS(Overwash_Matrix!$C:$C,2006,Overwash_Matrix!M:M,1))</f>
        <v/>
      </c>
      <c r="H26" s="57" t="str">
        <f>IF(COUNTIF(Overwash_Matrix!$C:$C,2006)=0,"",COUNTIFS(Overwash_Matrix!$C:$C,2006,Overwash_Matrix!N:N,1))</f>
        <v/>
      </c>
      <c r="I26" s="57" t="str">
        <f>IF(COUNTIF(Overwash_Matrix!$C:$C,2006)=0,"",COUNTIFS(Overwash_Matrix!$C:$C,2006,Overwash_Matrix!O:O,1))</f>
        <v/>
      </c>
      <c r="J26" s="57" t="str">
        <f>IF(COUNTIF(Overwash_Matrix!$C:$C,2006)=0,"",COUNTIFS(Overwash_Matrix!$C:$C,2006,Overwash_Matrix!P:P,1))</f>
        <v/>
      </c>
      <c r="K26" s="57" t="str">
        <f>IF(COUNTIF(Overwash_Matrix!$C:$C,2006)=0,"",COUNTIFS(Overwash_Matrix!$C:$C,2006,Overwash_Matrix!Q:Q,1))</f>
        <v/>
      </c>
      <c r="L26" s="57" t="str">
        <f>IF(COUNTIF(Overwash_Matrix!$C:$C,2006)=0,"",COUNTIFS(Overwash_Matrix!$C:$C,2006,Overwash_Matrix!R:R,1))</f>
        <v/>
      </c>
      <c r="M26" s="57" t="str">
        <f>IF(COUNTIF(Overwash_Matrix!$C:$C,2006)=0,"",COUNTIFS(Overwash_Matrix!$C:$C,2006,Overwash_Matrix!S:S,1))</f>
        <v/>
      </c>
      <c r="N26" s="57" t="str">
        <f>IF(COUNTIF(Overwash_Matrix!$C:$C,2006)=0,"",COUNTIFS(Overwash_Matrix!$C:$C,2006,Overwash_Matrix!T:T,1))</f>
        <v/>
      </c>
      <c r="O26" s="57" t="str">
        <f>IF(COUNTIF(Overwash_Matrix!$C:$C,2006)=0,"",COUNTIFS(Overwash_Matrix!$C:$C,2006,Overwash_Matrix!U:U,1))</f>
        <v/>
      </c>
      <c r="P26" s="57" t="str">
        <f>IF(COUNTIF(Overwash_Matrix!$C:$C,2006)=0,"",COUNTIFS(Overwash_Matrix!$C:$C,2006,Overwash_Matrix!V:V,1))</f>
        <v/>
      </c>
      <c r="Q26" s="57" t="str">
        <f>IF(COUNTIF(Overwash_Matrix!$C:$C,2006)=0,"",COUNTIFS(Overwash_Matrix!$C:$C,2006,Overwash_Matrix!W:W,1))</f>
        <v/>
      </c>
      <c r="R26" s="57" t="str">
        <f>IF(COUNTIF(Overwash_Matrix!$C:$C,2006)=0,"",COUNTIFS(Overwash_Matrix!$C:$C,2006,Overwash_Matrix!X:X,1))</f>
        <v/>
      </c>
      <c r="S26" s="57" t="str">
        <f>IF(COUNTIF(Overwash_Matrix!$C:$C,2006)=0,"",COUNTIFS(Overwash_Matrix!$C:$C,2006,Overwash_Matrix!Y:Y,1))</f>
        <v/>
      </c>
      <c r="T26" s="57" t="str">
        <f>IF(COUNTIF(Overwash_Matrix!$C:$C,2006)=0,"",COUNTIFS(Overwash_Matrix!$C:$C,2006,Overwash_Matrix!Z:Z,1))</f>
        <v/>
      </c>
      <c r="U26" s="57" t="str">
        <f>IF(COUNTIF(Overwash_Matrix!$C:$C,2006)=0,"",COUNTIFS(Overwash_Matrix!$C:$C,2006,Overwash_Matrix!AA:AA,1))</f>
        <v/>
      </c>
      <c r="V26" s="57" t="str">
        <f>IF(COUNTIF(Overwash_Matrix!$C:$C,2006)=0,"",COUNTIFS(Overwash_Matrix!$C:$C,2006,Overwash_Matrix!AB:AB,1))</f>
        <v/>
      </c>
      <c r="W26" s="57" t="str">
        <f>IF(COUNTIF(Overwash_Matrix!$C:$C,2006)=0,"",COUNTIFS(Overwash_Matrix!$C:$C,2006,Overwash_Matrix!AC:AC,1))</f>
        <v/>
      </c>
      <c r="X26" s="57" t="str">
        <f>IF(COUNTIF(Overwash_Matrix!$C:$C,2006)=0,"",COUNTIFS(Overwash_Matrix!$C:$C,2006,Overwash_Matrix!AD:AD,1))</f>
        <v/>
      </c>
      <c r="Y26" s="57" t="str">
        <f>IF(COUNTIF(Overwash_Matrix!$C:$C,2006)=0,"",COUNTIFS(Overwash_Matrix!$C:$C,2006,Overwash_Matrix!AE:AE,1))</f>
        <v/>
      </c>
      <c r="Z26" s="57" t="str">
        <f>IF(COUNTIF(Overwash_Matrix!$C:$C,2006)=0,"",COUNTIFS(Overwash_Matrix!$C:$C,2006,Overwash_Matrix!AF:AF,1))</f>
        <v/>
      </c>
      <c r="AA26" s="57" t="str">
        <f>IF(COUNTIF(Overwash_Matrix!$C:$C,2006)=0,"",COUNTIFS(Overwash_Matrix!$C:$C,2006,Overwash_Matrix!AG:AG,1))</f>
        <v/>
      </c>
      <c r="AB26" s="57" t="str">
        <f>IF(COUNTIF(Overwash_Matrix!$C:$C,2006)=0,"",COUNTIFS(Overwash_Matrix!$C:$C,2006,Overwash_Matrix!AH:AH,1))</f>
        <v/>
      </c>
      <c r="AC26" s="57" t="str">
        <f>IF(COUNTIF(Overwash_Matrix!$C:$C,2006)=0,"",COUNTIFS(Overwash_Matrix!$C:$C,2006,Overwash_Matrix!AI:AI,1))</f>
        <v/>
      </c>
      <c r="AD26" s="57" t="str">
        <f>IF(COUNTIF(Overwash_Matrix!$C:$C,2006)=0,"",COUNTIFS(Overwash_Matrix!$C:$C,2006,Overwash_Matrix!AJ:AJ,1))</f>
        <v/>
      </c>
      <c r="AE26" s="57" t="str">
        <f>IF(COUNTIF(Overwash_Matrix!$C:$C,2006)=0,"",COUNTIFS(Overwash_Matrix!$C:$C,2006,Overwash_Matrix!AK:AK,1))</f>
        <v/>
      </c>
      <c r="AF26" s="57" t="str">
        <f>IF(COUNTIF(Overwash_Matrix!$C:$C,2006)=0,"",COUNTIFS(Overwash_Matrix!$C:$C,2006,Overwash_Matrix!AL:AL,1))</f>
        <v/>
      </c>
      <c r="AG26" s="57" t="str">
        <f>IF(COUNTIF(Overwash_Matrix!$C:$C,2006)=0,"",COUNTIFS(Overwash_Matrix!$C:$C,2006,Overwash_Matrix!AM:AM,1))</f>
        <v/>
      </c>
      <c r="AH26" s="57" t="str">
        <f>IF(COUNTIF(Overwash_Matrix!$C:$C,2006)=0,"",COUNTIFS(Overwash_Matrix!$C:$C,2006,Overwash_Matrix!AN:AN,1))</f>
        <v/>
      </c>
      <c r="AI26" s="57" t="str">
        <f>IF(COUNTIF(Overwash_Matrix!$C:$C,2006)=0,"",COUNTIFS(Overwash_Matrix!$C:$C,2006,Overwash_Matrix!AO:AO,1))</f>
        <v/>
      </c>
      <c r="AJ26" s="57" t="str">
        <f>IF(COUNTIF(Overwash_Matrix!$C:$C,2006)=0,"",COUNTIFS(Overwash_Matrix!$C:$C,2006,Overwash_Matrix!AP:AP,1))</f>
        <v/>
      </c>
      <c r="AK26" s="57" t="str">
        <f>IF(COUNTIF(Overwash_Matrix!$C:$C,2006)=0,"",COUNTIFS(Overwash_Matrix!$C:$C,2006,Overwash_Matrix!AQ:AQ,1))</f>
        <v/>
      </c>
      <c r="AL26" s="57" t="str">
        <f>IF(COUNTIF(Overwash_Matrix!$C:$C,2006)=0,"",COUNTIFS(Overwash_Matrix!$C:$C,2006,Overwash_Matrix!AR:AR,1))</f>
        <v/>
      </c>
      <c r="AM26" s="57" t="str">
        <f>IF(COUNTIF(Overwash_Matrix!$C:$C,2006)=0,"",COUNTIFS(Overwash_Matrix!$C:$C,2006,Overwash_Matrix!AS:AS,1))</f>
        <v/>
      </c>
      <c r="AN26" s="57" t="str">
        <f>IF(COUNTIF(Overwash_Matrix!$C:$C,2006)=0,"",COUNTIFS(Overwash_Matrix!$C:$C,2006,Overwash_Matrix!AT:AT,1))</f>
        <v/>
      </c>
      <c r="AO26" s="57" t="str">
        <f>IF(COUNTIF(Overwash_Matrix!$C:$C,2006)=0,"",COUNTIFS(Overwash_Matrix!$C:$C,2006,Overwash_Matrix!AU:AU,1))</f>
        <v/>
      </c>
      <c r="AP26" s="57" t="str">
        <f>IF(COUNTIF(Overwash_Matrix!$C:$C,2006)=0,"",COUNTIFS(Overwash_Matrix!$C:$C,2006,Overwash_Matrix!AV:AV,1))</f>
        <v/>
      </c>
      <c r="AQ26" s="57" t="str">
        <f>IF(COUNTIF(Overwash_Matrix!$C:$C,2006)=0,"",COUNTIFS(Overwash_Matrix!$C:$C,2006,Overwash_Matrix!AW:AW,1))</f>
        <v/>
      </c>
      <c r="AR26" s="57" t="str">
        <f>IF(COUNTIF(Overwash_Matrix!$C:$C,2006)=0,"",COUNTIFS(Overwash_Matrix!$C:$C,2006,Overwash_Matrix!AX:AX,1))</f>
        <v/>
      </c>
      <c r="AS26" s="57" t="str">
        <f>IF(COUNTIF(Overwash_Matrix!$C:$C,2006)=0,"",COUNTIFS(Overwash_Matrix!$C:$C,2006,Overwash_Matrix!AY:AY,1))</f>
        <v/>
      </c>
      <c r="AT26" s="57" t="str">
        <f>IF(COUNTIF(Overwash_Matrix!$C:$C,2006)=0,"",COUNTIFS(Overwash_Matrix!$C:$C,2006,Overwash_Matrix!AZ:AZ,1))</f>
        <v/>
      </c>
      <c r="AU26" s="57" t="str">
        <f>IF(COUNTIF(Overwash_Matrix!$C:$C,2006)=0,"",COUNTIFS(Overwash_Matrix!$C:$C,2006,Overwash_Matrix!BA:BA,1))</f>
        <v/>
      </c>
      <c r="AV26" s="57" t="str">
        <f>IF(COUNTIF(Overwash_Matrix!$C:$C,2006)=0,"",COUNTIFS(Overwash_Matrix!$C:$C,2006,Overwash_Matrix!BB:BB,1))</f>
        <v/>
      </c>
      <c r="AW26" s="57" t="str">
        <f>IF(COUNTIF(Overwash_Matrix!$C:$C,2006)=0,"",COUNTIFS(Overwash_Matrix!$C:$C,2006,Overwash_Matrix!BC:BC,1))</f>
        <v/>
      </c>
      <c r="AX26" s="57" t="str">
        <f>IF(COUNTIF(Overwash_Matrix!$C:$C,2006)=0,"",COUNTIFS(Overwash_Matrix!$C:$C,2006,Overwash_Matrix!BD:BD,1))</f>
        <v/>
      </c>
      <c r="AY26" s="57" t="str">
        <f>IF(COUNTIF(Overwash_Matrix!$C:$C,2006)=0,"",COUNTIFS(Overwash_Matrix!$C:$C,2006,Overwash_Matrix!BE:BE,1))</f>
        <v/>
      </c>
      <c r="AZ26" s="57" t="str">
        <f>IF(COUNTIF(Overwash_Matrix!$C:$C,2006)=0,"",COUNTIFS(Overwash_Matrix!$C:$C,2006,Overwash_Matrix!BF:BF,1))</f>
        <v/>
      </c>
      <c r="BA26" s="57" t="str">
        <f>IF(COUNTIF(Overwash_Matrix!$C:$C,2006)=0,"",COUNTIFS(Overwash_Matrix!$C:$C,2006,Overwash_Matrix!BG:BG,1))</f>
        <v/>
      </c>
      <c r="BB26" s="57" t="str">
        <f>IF(COUNTIF(Overwash_Matrix!$C:$C,2006)=0,"",COUNTIFS(Overwash_Matrix!$C:$C,2006,Overwash_Matrix!BH:BH,1))</f>
        <v/>
      </c>
      <c r="BC26" s="57" t="str">
        <f>IF(COUNTIF(Overwash_Matrix!$C:$C,2006)=0,"",COUNTIFS(Overwash_Matrix!$C:$C,2006,Overwash_Matrix!BI:BI,1))</f>
        <v/>
      </c>
      <c r="BD26" s="57" t="str">
        <f>IF(COUNTIF(Overwash_Matrix!$C:$C,2006)=0,"",COUNTIFS(Overwash_Matrix!$C:$C,2006,Overwash_Matrix!BJ:BJ,1))</f>
        <v/>
      </c>
      <c r="BE26" s="57" t="str">
        <f>IF(COUNTIF(Overwash_Matrix!$C:$C,2006)=0,"",COUNTIFS(Overwash_Matrix!$C:$C,2006,Overwash_Matrix!BK:BK,1))</f>
        <v/>
      </c>
      <c r="BF26" s="57" t="str">
        <f>IF(COUNTIF(Overwash_Matrix!$C:$C,2006)=0,"",COUNTIFS(Overwash_Matrix!$C:$C,2006,Overwash_Matrix!BL:BL,1))</f>
        <v/>
      </c>
      <c r="BG26" s="57" t="str">
        <f>IF(COUNTIF(Overwash_Matrix!$C:$C,2006)=0,"",COUNTIFS(Overwash_Matrix!$C:$C,2006,Overwash_Matrix!BM:BM,1))</f>
        <v/>
      </c>
      <c r="BH26" s="57" t="str">
        <f>IF(COUNTIF(Overwash_Matrix!$C:$C,2006)=0,"",COUNTIFS(Overwash_Matrix!$C:$C,2006,Overwash_Matrix!BN:BN,1))</f>
        <v/>
      </c>
      <c r="BI26" s="57" t="str">
        <f>IF(COUNTIF(Overwash_Matrix!$C:$C,2006)=0,"",COUNTIFS(Overwash_Matrix!$C:$C,2006,Overwash_Matrix!BO:BO,1))</f>
        <v/>
      </c>
      <c r="BJ26" s="57" t="str">
        <f>IF(COUNTIF(Overwash_Matrix!$C:$C,2006)=0,"",COUNTIFS(Overwash_Matrix!$C:$C,2006,Overwash_Matrix!BP:BP,1))</f>
        <v/>
      </c>
      <c r="BK26" s="57" t="str">
        <f>IF(COUNTIF(Overwash_Matrix!$C:$C,2006)=0,"",COUNTIFS(Overwash_Matrix!$C:$C,2006,Overwash_Matrix!BQ:BQ,1))</f>
        <v/>
      </c>
      <c r="BL26" s="57" t="str">
        <f>IF(COUNTIF(Overwash_Matrix!$C:$C,2006)=0,"",COUNTIFS(Overwash_Matrix!$C:$C,2006,Overwash_Matrix!BR:BR,1))</f>
        <v/>
      </c>
      <c r="BM26" s="57" t="str">
        <f>IF(COUNTIF(Overwash_Matrix!$C:$C,2006)=0,"",COUNTIFS(Overwash_Matrix!$C:$C,2006,Overwash_Matrix!BS:BS,1))</f>
        <v/>
      </c>
      <c r="BN26" s="57" t="str">
        <f>IF(COUNTIF(Overwash_Matrix!$C:$C,2006)=0,"",COUNTIFS(Overwash_Matrix!$C:$C,2006,Overwash_Matrix!BT:BT,1))</f>
        <v/>
      </c>
      <c r="BO26" s="57" t="str">
        <f>IF(COUNTIF(Overwash_Matrix!$C:$C,2006)=0,"",COUNTIFS(Overwash_Matrix!$C:$C,2006,Overwash_Matrix!BU:BU,1))</f>
        <v/>
      </c>
      <c r="BP26" s="57" t="str">
        <f>IF(COUNTIF(Overwash_Matrix!$C:$C,2006)=0,"",COUNTIFS(Overwash_Matrix!$C:$C,2006,Overwash_Matrix!BV:BV,1))</f>
        <v/>
      </c>
      <c r="BQ26" s="57" t="str">
        <f>IF(COUNTIF(Overwash_Matrix!$C:$C,2006)=0,"",COUNTIFS(Overwash_Matrix!$C:$C,2006,Overwash_Matrix!BW:BW,1))</f>
        <v/>
      </c>
      <c r="BR26" s="57" t="str">
        <f>IF(COUNTIF(Overwash_Matrix!$C:$C,2006)=0,"",COUNTIFS(Overwash_Matrix!$C:$C,2006,Overwash_Matrix!BX:BX,1))</f>
        <v/>
      </c>
      <c r="BS26" s="57" t="str">
        <f>IF(COUNTIF(Overwash_Matrix!$C:$C,2006)=0,"",COUNTIFS(Overwash_Matrix!$C:$C,2006,Overwash_Matrix!BY:BY,1))</f>
        <v/>
      </c>
      <c r="BT26" s="57" t="str">
        <f>IF(COUNTIF(Overwash_Matrix!$C:$C,2006)=0,"",COUNTIFS(Overwash_Matrix!$C:$C,2006,Overwash_Matrix!BZ:BZ,1))</f>
        <v/>
      </c>
      <c r="BU26" s="57" t="str">
        <f>IF(COUNTIF(Overwash_Matrix!$C:$C,2006)=0,"",COUNTIFS(Overwash_Matrix!$C:$C,2006,Overwash_Matrix!CA:CA,1))</f>
        <v/>
      </c>
      <c r="BV26" s="57" t="str">
        <f>IF(COUNTIF(Overwash_Matrix!$C:$C,2006)=0,"",COUNTIFS(Overwash_Matrix!$C:$C,2006,Overwash_Matrix!CB:CB,1))</f>
        <v/>
      </c>
      <c r="BW26" s="57" t="str">
        <f>IF(COUNTIF(Overwash_Matrix!$C:$C,2006)=0,"",COUNTIFS(Overwash_Matrix!$C:$C,2006,Overwash_Matrix!CC:CC,1))</f>
        <v/>
      </c>
      <c r="BX26" s="57" t="str">
        <f>IF(COUNTIF(Overwash_Matrix!$C:$C,2006)=0,"",COUNTIFS(Overwash_Matrix!$C:$C,2006,Overwash_Matrix!CD:CD,1))</f>
        <v/>
      </c>
      <c r="BY26" s="57" t="str">
        <f>IF(COUNTIF(Overwash_Matrix!$C:$C,2006)=0,"",COUNTIFS(Overwash_Matrix!$C:$C,2006,Overwash_Matrix!CE:CE,1))</f>
        <v/>
      </c>
      <c r="BZ26" s="57" t="str">
        <f>IF(COUNTIF(Overwash_Matrix!$C:$C,2006)=0,"",COUNTIFS(Overwash_Matrix!$C:$C,2006,Overwash_Matrix!CF:CF,1))</f>
        <v/>
      </c>
      <c r="CA26" s="57" t="str">
        <f>IF(COUNTIF(Overwash_Matrix!$C:$C,2006)=0,"",COUNTIFS(Overwash_Matrix!$C:$C,2006,Overwash_Matrix!CG:CG,1))</f>
        <v/>
      </c>
      <c r="CB26" s="57" t="str">
        <f>IF(COUNTIF(Overwash_Matrix!$C:$C,2006)=0,"",COUNTIFS(Overwash_Matrix!$C:$C,2006,Overwash_Matrix!CH:CH,1))</f>
        <v/>
      </c>
      <c r="CC26" s="57" t="str">
        <f>IF(COUNTIF(Overwash_Matrix!$C:$C,2006)=0,"",COUNTIFS(Overwash_Matrix!$C:$C,2006,Overwash_Matrix!CI:CI,1))</f>
        <v/>
      </c>
      <c r="CD26" s="57" t="str">
        <f>IF(COUNTIF(Overwash_Matrix!$C:$C,2006)=0,"",COUNTIFS(Overwash_Matrix!$C:$C,2006,Overwash_Matrix!CJ:CJ,1))</f>
        <v/>
      </c>
      <c r="CE26" s="57" t="str">
        <f>IF(COUNTIF(Overwash_Matrix!$C:$C,2006)=0,"",COUNTIFS(Overwash_Matrix!$C:$C,2006,Overwash_Matrix!CK:CK,1))</f>
        <v/>
      </c>
      <c r="CF26" s="57" t="str">
        <f>IF(COUNTIF(Overwash_Matrix!$C:$C,2006)=0,"",COUNTIFS(Overwash_Matrix!$C:$C,2006,Overwash_Matrix!CL:CL,1))</f>
        <v/>
      </c>
      <c r="CG26" s="57" t="str">
        <f>IF(COUNTIF(Overwash_Matrix!$C:$C,2006)=0,"",COUNTIFS(Overwash_Matrix!$C:$C,2006,Overwash_Matrix!CM:CM,1))</f>
        <v/>
      </c>
      <c r="CH26" s="57" t="str">
        <f>IF(COUNTIF(Overwash_Matrix!$C:$C,2006)=0,"",COUNTIFS(Overwash_Matrix!$C:$C,2006,Overwash_Matrix!CN:CN,1))</f>
        <v/>
      </c>
      <c r="CI26" s="57" t="str">
        <f>IF(COUNTIF(Overwash_Matrix!$C:$C,2006)=0,"",COUNTIFS(Overwash_Matrix!$C:$C,2006,Overwash_Matrix!CO:CO,1))</f>
        <v/>
      </c>
      <c r="CJ26" s="57" t="str">
        <f>IF(COUNTIF(Overwash_Matrix!$C:$C,2006)=0,"",COUNTIFS(Overwash_Matrix!$C:$C,2006,Overwash_Matrix!CP:CP,1))</f>
        <v/>
      </c>
      <c r="CK26" s="57" t="str">
        <f>IF(COUNTIF(Overwash_Matrix!$C:$C,2006)=0,"",COUNTIFS(Overwash_Matrix!$C:$C,2006,Overwash_Matrix!CQ:CQ,1))</f>
        <v/>
      </c>
      <c r="CL26" s="57" t="str">
        <f>IF(COUNTIF(Overwash_Matrix!$C:$C,2006)=0,"",COUNTIFS(Overwash_Matrix!$C:$C,2006,Overwash_Matrix!CR:CR,1))</f>
        <v/>
      </c>
      <c r="CM26" s="57" t="str">
        <f>IF(COUNTIF(Overwash_Matrix!$C:$C,2006)=0,"",COUNTIFS(Overwash_Matrix!$C:$C,2006,Overwash_Matrix!CS:CS,1))</f>
        <v/>
      </c>
      <c r="CN26" s="57" t="str">
        <f>IF(COUNTIF(Overwash_Matrix!$C:$C,2006)=0,"",COUNTIFS(Overwash_Matrix!$C:$C,2006,Overwash_Matrix!CT:CT,1))</f>
        <v/>
      </c>
    </row>
    <row r="27" ht="13.5" customHeight="1">
      <c r="A27" s="88">
        <v>2007.0</v>
      </c>
      <c r="B27" s="89">
        <f>COUNTIF(Overwash_Matrix!$C:$C,2007)</f>
        <v>0</v>
      </c>
      <c r="C27" s="53" t="str">
        <f>IF(COUNTIF(Overwash_Matrix!$C:$C,2007)=0,"",COUNTIFS(Overwash_Matrix!$C:$C,2007,Overwash_Matrix!I:I,1))</f>
        <v/>
      </c>
      <c r="D27" s="53" t="str">
        <f>IF(COUNTIF(Overwash_Matrix!$C:$C,2007)=0,"",COUNTIFS(Overwash_Matrix!$C:$C,2007,Overwash_Matrix!J:J,1))</f>
        <v/>
      </c>
      <c r="E27" s="53" t="str">
        <f>IF(COUNTIF(Overwash_Matrix!$C:$C,2007)=0,"",COUNTIFS(Overwash_Matrix!$C:$C,2007,Overwash_Matrix!K:K,1))</f>
        <v/>
      </c>
      <c r="F27" s="53" t="str">
        <f>IF(COUNTIF(Overwash_Matrix!$C:$C,2007)=0,"",COUNTIFS(Overwash_Matrix!$C:$C,2007,Overwash_Matrix!L:L,1))</f>
        <v/>
      </c>
      <c r="G27" s="53" t="str">
        <f>IF(COUNTIF(Overwash_Matrix!$C:$C,2007)=0,"",COUNTIFS(Overwash_Matrix!$C:$C,2007,Overwash_Matrix!M:M,1))</f>
        <v/>
      </c>
      <c r="H27" s="53" t="str">
        <f>IF(COUNTIF(Overwash_Matrix!$C:$C,2007)=0,"",COUNTIFS(Overwash_Matrix!$C:$C,2007,Overwash_Matrix!N:N,1))</f>
        <v/>
      </c>
      <c r="I27" s="53" t="str">
        <f>IF(COUNTIF(Overwash_Matrix!$C:$C,2007)=0,"",COUNTIFS(Overwash_Matrix!$C:$C,2007,Overwash_Matrix!O:O,1))</f>
        <v/>
      </c>
      <c r="J27" s="53" t="str">
        <f>IF(COUNTIF(Overwash_Matrix!$C:$C,2007)=0,"",COUNTIFS(Overwash_Matrix!$C:$C,2007,Overwash_Matrix!P:P,1))</f>
        <v/>
      </c>
      <c r="K27" s="53" t="str">
        <f>IF(COUNTIF(Overwash_Matrix!$C:$C,2007)=0,"",COUNTIFS(Overwash_Matrix!$C:$C,2007,Overwash_Matrix!Q:Q,1))</f>
        <v/>
      </c>
      <c r="L27" s="53" t="str">
        <f>IF(COUNTIF(Overwash_Matrix!$C:$C,2007)=0,"",COUNTIFS(Overwash_Matrix!$C:$C,2007,Overwash_Matrix!R:R,1))</f>
        <v/>
      </c>
      <c r="M27" s="53" t="str">
        <f>IF(COUNTIF(Overwash_Matrix!$C:$C,2007)=0,"",COUNTIFS(Overwash_Matrix!$C:$C,2007,Overwash_Matrix!S:S,1))</f>
        <v/>
      </c>
      <c r="N27" s="53" t="str">
        <f>IF(COUNTIF(Overwash_Matrix!$C:$C,2007)=0,"",COUNTIFS(Overwash_Matrix!$C:$C,2007,Overwash_Matrix!T:T,1))</f>
        <v/>
      </c>
      <c r="O27" s="53" t="str">
        <f>IF(COUNTIF(Overwash_Matrix!$C:$C,2007)=0,"",COUNTIFS(Overwash_Matrix!$C:$C,2007,Overwash_Matrix!U:U,1))</f>
        <v/>
      </c>
      <c r="P27" s="53" t="str">
        <f>IF(COUNTIF(Overwash_Matrix!$C:$C,2007)=0,"",COUNTIFS(Overwash_Matrix!$C:$C,2007,Overwash_Matrix!V:V,1))</f>
        <v/>
      </c>
      <c r="Q27" s="53" t="str">
        <f>IF(COUNTIF(Overwash_Matrix!$C:$C,2007)=0,"",COUNTIFS(Overwash_Matrix!$C:$C,2007,Overwash_Matrix!W:W,1))</f>
        <v/>
      </c>
      <c r="R27" s="53" t="str">
        <f>IF(COUNTIF(Overwash_Matrix!$C:$C,2007)=0,"",COUNTIFS(Overwash_Matrix!$C:$C,2007,Overwash_Matrix!X:X,1))</f>
        <v/>
      </c>
      <c r="S27" s="53" t="str">
        <f>IF(COUNTIF(Overwash_Matrix!$C:$C,2007)=0,"",COUNTIFS(Overwash_Matrix!$C:$C,2007,Overwash_Matrix!Y:Y,1))</f>
        <v/>
      </c>
      <c r="T27" s="53" t="str">
        <f>IF(COUNTIF(Overwash_Matrix!$C:$C,2007)=0,"",COUNTIFS(Overwash_Matrix!$C:$C,2007,Overwash_Matrix!Z:Z,1))</f>
        <v/>
      </c>
      <c r="U27" s="53" t="str">
        <f>IF(COUNTIF(Overwash_Matrix!$C:$C,2007)=0,"",COUNTIFS(Overwash_Matrix!$C:$C,2007,Overwash_Matrix!AA:AA,1))</f>
        <v/>
      </c>
      <c r="V27" s="53" t="str">
        <f>IF(COUNTIF(Overwash_Matrix!$C:$C,2007)=0,"",COUNTIFS(Overwash_Matrix!$C:$C,2007,Overwash_Matrix!AB:AB,1))</f>
        <v/>
      </c>
      <c r="W27" s="53" t="str">
        <f>IF(COUNTIF(Overwash_Matrix!$C:$C,2007)=0,"",COUNTIFS(Overwash_Matrix!$C:$C,2007,Overwash_Matrix!AC:AC,1))</f>
        <v/>
      </c>
      <c r="X27" s="53" t="str">
        <f>IF(COUNTIF(Overwash_Matrix!$C:$C,2007)=0,"",COUNTIFS(Overwash_Matrix!$C:$C,2007,Overwash_Matrix!AD:AD,1))</f>
        <v/>
      </c>
      <c r="Y27" s="53" t="str">
        <f>IF(COUNTIF(Overwash_Matrix!$C:$C,2007)=0,"",COUNTIFS(Overwash_Matrix!$C:$C,2007,Overwash_Matrix!AE:AE,1))</f>
        <v/>
      </c>
      <c r="Z27" s="53" t="str">
        <f>IF(COUNTIF(Overwash_Matrix!$C:$C,2007)=0,"",COUNTIFS(Overwash_Matrix!$C:$C,2007,Overwash_Matrix!AF:AF,1))</f>
        <v/>
      </c>
      <c r="AA27" s="53" t="str">
        <f>IF(COUNTIF(Overwash_Matrix!$C:$C,2007)=0,"",COUNTIFS(Overwash_Matrix!$C:$C,2007,Overwash_Matrix!AG:AG,1))</f>
        <v/>
      </c>
      <c r="AB27" s="53" t="str">
        <f>IF(COUNTIF(Overwash_Matrix!$C:$C,2007)=0,"",COUNTIFS(Overwash_Matrix!$C:$C,2007,Overwash_Matrix!AH:AH,1))</f>
        <v/>
      </c>
      <c r="AC27" s="53" t="str">
        <f>IF(COUNTIF(Overwash_Matrix!$C:$C,2007)=0,"",COUNTIFS(Overwash_Matrix!$C:$C,2007,Overwash_Matrix!AI:AI,1))</f>
        <v/>
      </c>
      <c r="AD27" s="53" t="str">
        <f>IF(COUNTIF(Overwash_Matrix!$C:$C,2007)=0,"",COUNTIFS(Overwash_Matrix!$C:$C,2007,Overwash_Matrix!AJ:AJ,1))</f>
        <v/>
      </c>
      <c r="AE27" s="53" t="str">
        <f>IF(COUNTIF(Overwash_Matrix!$C:$C,2007)=0,"",COUNTIFS(Overwash_Matrix!$C:$C,2007,Overwash_Matrix!AK:AK,1))</f>
        <v/>
      </c>
      <c r="AF27" s="53" t="str">
        <f>IF(COUNTIF(Overwash_Matrix!$C:$C,2007)=0,"",COUNTIFS(Overwash_Matrix!$C:$C,2007,Overwash_Matrix!AL:AL,1))</f>
        <v/>
      </c>
      <c r="AG27" s="53" t="str">
        <f>IF(COUNTIF(Overwash_Matrix!$C:$C,2007)=0,"",COUNTIFS(Overwash_Matrix!$C:$C,2007,Overwash_Matrix!AM:AM,1))</f>
        <v/>
      </c>
      <c r="AH27" s="53" t="str">
        <f>IF(COUNTIF(Overwash_Matrix!$C:$C,2007)=0,"",COUNTIFS(Overwash_Matrix!$C:$C,2007,Overwash_Matrix!AN:AN,1))</f>
        <v/>
      </c>
      <c r="AI27" s="53" t="str">
        <f>IF(COUNTIF(Overwash_Matrix!$C:$C,2007)=0,"",COUNTIFS(Overwash_Matrix!$C:$C,2007,Overwash_Matrix!AO:AO,1))</f>
        <v/>
      </c>
      <c r="AJ27" s="53" t="str">
        <f>IF(COUNTIF(Overwash_Matrix!$C:$C,2007)=0,"",COUNTIFS(Overwash_Matrix!$C:$C,2007,Overwash_Matrix!AP:AP,1))</f>
        <v/>
      </c>
      <c r="AK27" s="53" t="str">
        <f>IF(COUNTIF(Overwash_Matrix!$C:$C,2007)=0,"",COUNTIFS(Overwash_Matrix!$C:$C,2007,Overwash_Matrix!AQ:AQ,1))</f>
        <v/>
      </c>
      <c r="AL27" s="53" t="str">
        <f>IF(COUNTIF(Overwash_Matrix!$C:$C,2007)=0,"",COUNTIFS(Overwash_Matrix!$C:$C,2007,Overwash_Matrix!AR:AR,1))</f>
        <v/>
      </c>
      <c r="AM27" s="53" t="str">
        <f>IF(COUNTIF(Overwash_Matrix!$C:$C,2007)=0,"",COUNTIFS(Overwash_Matrix!$C:$C,2007,Overwash_Matrix!AS:AS,1))</f>
        <v/>
      </c>
      <c r="AN27" s="53" t="str">
        <f>IF(COUNTIF(Overwash_Matrix!$C:$C,2007)=0,"",COUNTIFS(Overwash_Matrix!$C:$C,2007,Overwash_Matrix!AT:AT,1))</f>
        <v/>
      </c>
      <c r="AO27" s="53" t="str">
        <f>IF(COUNTIF(Overwash_Matrix!$C:$C,2007)=0,"",COUNTIFS(Overwash_Matrix!$C:$C,2007,Overwash_Matrix!AU:AU,1))</f>
        <v/>
      </c>
      <c r="AP27" s="53" t="str">
        <f>IF(COUNTIF(Overwash_Matrix!$C:$C,2007)=0,"",COUNTIFS(Overwash_Matrix!$C:$C,2007,Overwash_Matrix!AV:AV,1))</f>
        <v/>
      </c>
      <c r="AQ27" s="53" t="str">
        <f>IF(COUNTIF(Overwash_Matrix!$C:$C,2007)=0,"",COUNTIFS(Overwash_Matrix!$C:$C,2007,Overwash_Matrix!AW:AW,1))</f>
        <v/>
      </c>
      <c r="AR27" s="53" t="str">
        <f>IF(COUNTIF(Overwash_Matrix!$C:$C,2007)=0,"",COUNTIFS(Overwash_Matrix!$C:$C,2007,Overwash_Matrix!AX:AX,1))</f>
        <v/>
      </c>
      <c r="AS27" s="53" t="str">
        <f>IF(COUNTIF(Overwash_Matrix!$C:$C,2007)=0,"",COUNTIFS(Overwash_Matrix!$C:$C,2007,Overwash_Matrix!AY:AY,1))</f>
        <v/>
      </c>
      <c r="AT27" s="53" t="str">
        <f>IF(COUNTIF(Overwash_Matrix!$C:$C,2007)=0,"",COUNTIFS(Overwash_Matrix!$C:$C,2007,Overwash_Matrix!AZ:AZ,1))</f>
        <v/>
      </c>
      <c r="AU27" s="53" t="str">
        <f>IF(COUNTIF(Overwash_Matrix!$C:$C,2007)=0,"",COUNTIFS(Overwash_Matrix!$C:$C,2007,Overwash_Matrix!BA:BA,1))</f>
        <v/>
      </c>
      <c r="AV27" s="53" t="str">
        <f>IF(COUNTIF(Overwash_Matrix!$C:$C,2007)=0,"",COUNTIFS(Overwash_Matrix!$C:$C,2007,Overwash_Matrix!BB:BB,1))</f>
        <v/>
      </c>
      <c r="AW27" s="53" t="str">
        <f>IF(COUNTIF(Overwash_Matrix!$C:$C,2007)=0,"",COUNTIFS(Overwash_Matrix!$C:$C,2007,Overwash_Matrix!BC:BC,1))</f>
        <v/>
      </c>
      <c r="AX27" s="53" t="str">
        <f>IF(COUNTIF(Overwash_Matrix!$C:$C,2007)=0,"",COUNTIFS(Overwash_Matrix!$C:$C,2007,Overwash_Matrix!BD:BD,1))</f>
        <v/>
      </c>
      <c r="AY27" s="53" t="str">
        <f>IF(COUNTIF(Overwash_Matrix!$C:$C,2007)=0,"",COUNTIFS(Overwash_Matrix!$C:$C,2007,Overwash_Matrix!BE:BE,1))</f>
        <v/>
      </c>
      <c r="AZ27" s="53" t="str">
        <f>IF(COUNTIF(Overwash_Matrix!$C:$C,2007)=0,"",COUNTIFS(Overwash_Matrix!$C:$C,2007,Overwash_Matrix!BF:BF,1))</f>
        <v/>
      </c>
      <c r="BA27" s="53" t="str">
        <f>IF(COUNTIF(Overwash_Matrix!$C:$C,2007)=0,"",COUNTIFS(Overwash_Matrix!$C:$C,2007,Overwash_Matrix!BG:BG,1))</f>
        <v/>
      </c>
      <c r="BB27" s="53" t="str">
        <f>IF(COUNTIF(Overwash_Matrix!$C:$C,2007)=0,"",COUNTIFS(Overwash_Matrix!$C:$C,2007,Overwash_Matrix!BH:BH,1))</f>
        <v/>
      </c>
      <c r="BC27" s="53" t="str">
        <f>IF(COUNTIF(Overwash_Matrix!$C:$C,2007)=0,"",COUNTIFS(Overwash_Matrix!$C:$C,2007,Overwash_Matrix!BI:BI,1))</f>
        <v/>
      </c>
      <c r="BD27" s="53" t="str">
        <f>IF(COUNTIF(Overwash_Matrix!$C:$C,2007)=0,"",COUNTIFS(Overwash_Matrix!$C:$C,2007,Overwash_Matrix!BJ:BJ,1))</f>
        <v/>
      </c>
      <c r="BE27" s="53" t="str">
        <f>IF(COUNTIF(Overwash_Matrix!$C:$C,2007)=0,"",COUNTIFS(Overwash_Matrix!$C:$C,2007,Overwash_Matrix!BK:BK,1))</f>
        <v/>
      </c>
      <c r="BF27" s="53" t="str">
        <f>IF(COUNTIF(Overwash_Matrix!$C:$C,2007)=0,"",COUNTIFS(Overwash_Matrix!$C:$C,2007,Overwash_Matrix!BL:BL,1))</f>
        <v/>
      </c>
      <c r="BG27" s="53" t="str">
        <f>IF(COUNTIF(Overwash_Matrix!$C:$C,2007)=0,"",COUNTIFS(Overwash_Matrix!$C:$C,2007,Overwash_Matrix!BM:BM,1))</f>
        <v/>
      </c>
      <c r="BH27" s="53" t="str">
        <f>IF(COUNTIF(Overwash_Matrix!$C:$C,2007)=0,"",COUNTIFS(Overwash_Matrix!$C:$C,2007,Overwash_Matrix!BN:BN,1))</f>
        <v/>
      </c>
      <c r="BI27" s="53" t="str">
        <f>IF(COUNTIF(Overwash_Matrix!$C:$C,2007)=0,"",COUNTIFS(Overwash_Matrix!$C:$C,2007,Overwash_Matrix!BO:BO,1))</f>
        <v/>
      </c>
      <c r="BJ27" s="53" t="str">
        <f>IF(COUNTIF(Overwash_Matrix!$C:$C,2007)=0,"",COUNTIFS(Overwash_Matrix!$C:$C,2007,Overwash_Matrix!BP:BP,1))</f>
        <v/>
      </c>
      <c r="BK27" s="53" t="str">
        <f>IF(COUNTIF(Overwash_Matrix!$C:$C,2007)=0,"",COUNTIFS(Overwash_Matrix!$C:$C,2007,Overwash_Matrix!BQ:BQ,1))</f>
        <v/>
      </c>
      <c r="BL27" s="53" t="str">
        <f>IF(COUNTIF(Overwash_Matrix!$C:$C,2007)=0,"",COUNTIFS(Overwash_Matrix!$C:$C,2007,Overwash_Matrix!BR:BR,1))</f>
        <v/>
      </c>
      <c r="BM27" s="53" t="str">
        <f>IF(COUNTIF(Overwash_Matrix!$C:$C,2007)=0,"",COUNTIFS(Overwash_Matrix!$C:$C,2007,Overwash_Matrix!BS:BS,1))</f>
        <v/>
      </c>
      <c r="BN27" s="53" t="str">
        <f>IF(COUNTIF(Overwash_Matrix!$C:$C,2007)=0,"",COUNTIFS(Overwash_Matrix!$C:$C,2007,Overwash_Matrix!BT:BT,1))</f>
        <v/>
      </c>
      <c r="BO27" s="53" t="str">
        <f>IF(COUNTIF(Overwash_Matrix!$C:$C,2007)=0,"",COUNTIFS(Overwash_Matrix!$C:$C,2007,Overwash_Matrix!BU:BU,1))</f>
        <v/>
      </c>
      <c r="BP27" s="53" t="str">
        <f>IF(COUNTIF(Overwash_Matrix!$C:$C,2007)=0,"",COUNTIFS(Overwash_Matrix!$C:$C,2007,Overwash_Matrix!BV:BV,1))</f>
        <v/>
      </c>
      <c r="BQ27" s="53" t="str">
        <f>IF(COUNTIF(Overwash_Matrix!$C:$C,2007)=0,"",COUNTIFS(Overwash_Matrix!$C:$C,2007,Overwash_Matrix!BW:BW,1))</f>
        <v/>
      </c>
      <c r="BR27" s="53" t="str">
        <f>IF(COUNTIF(Overwash_Matrix!$C:$C,2007)=0,"",COUNTIFS(Overwash_Matrix!$C:$C,2007,Overwash_Matrix!BX:BX,1))</f>
        <v/>
      </c>
      <c r="BS27" s="53" t="str">
        <f>IF(COUNTIF(Overwash_Matrix!$C:$C,2007)=0,"",COUNTIFS(Overwash_Matrix!$C:$C,2007,Overwash_Matrix!BY:BY,1))</f>
        <v/>
      </c>
      <c r="BT27" s="53" t="str">
        <f>IF(COUNTIF(Overwash_Matrix!$C:$C,2007)=0,"",COUNTIFS(Overwash_Matrix!$C:$C,2007,Overwash_Matrix!BZ:BZ,1))</f>
        <v/>
      </c>
      <c r="BU27" s="53" t="str">
        <f>IF(COUNTIF(Overwash_Matrix!$C:$C,2007)=0,"",COUNTIFS(Overwash_Matrix!$C:$C,2007,Overwash_Matrix!CA:CA,1))</f>
        <v/>
      </c>
      <c r="BV27" s="53" t="str">
        <f>IF(COUNTIF(Overwash_Matrix!$C:$C,2007)=0,"",COUNTIFS(Overwash_Matrix!$C:$C,2007,Overwash_Matrix!CB:CB,1))</f>
        <v/>
      </c>
      <c r="BW27" s="53" t="str">
        <f>IF(COUNTIF(Overwash_Matrix!$C:$C,2007)=0,"",COUNTIFS(Overwash_Matrix!$C:$C,2007,Overwash_Matrix!CC:CC,1))</f>
        <v/>
      </c>
      <c r="BX27" s="53" t="str">
        <f>IF(COUNTIF(Overwash_Matrix!$C:$C,2007)=0,"",COUNTIFS(Overwash_Matrix!$C:$C,2007,Overwash_Matrix!CD:CD,1))</f>
        <v/>
      </c>
      <c r="BY27" s="53" t="str">
        <f>IF(COUNTIF(Overwash_Matrix!$C:$C,2007)=0,"",COUNTIFS(Overwash_Matrix!$C:$C,2007,Overwash_Matrix!CE:CE,1))</f>
        <v/>
      </c>
      <c r="BZ27" s="53" t="str">
        <f>IF(COUNTIF(Overwash_Matrix!$C:$C,2007)=0,"",COUNTIFS(Overwash_Matrix!$C:$C,2007,Overwash_Matrix!CF:CF,1))</f>
        <v/>
      </c>
      <c r="CA27" s="53" t="str">
        <f>IF(COUNTIF(Overwash_Matrix!$C:$C,2007)=0,"",COUNTIFS(Overwash_Matrix!$C:$C,2007,Overwash_Matrix!CG:CG,1))</f>
        <v/>
      </c>
      <c r="CB27" s="53" t="str">
        <f>IF(COUNTIF(Overwash_Matrix!$C:$C,2007)=0,"",COUNTIFS(Overwash_Matrix!$C:$C,2007,Overwash_Matrix!CH:CH,1))</f>
        <v/>
      </c>
      <c r="CC27" s="53" t="str">
        <f>IF(COUNTIF(Overwash_Matrix!$C:$C,2007)=0,"",COUNTIFS(Overwash_Matrix!$C:$C,2007,Overwash_Matrix!CI:CI,1))</f>
        <v/>
      </c>
      <c r="CD27" s="53" t="str">
        <f>IF(COUNTIF(Overwash_Matrix!$C:$C,2007)=0,"",COUNTIFS(Overwash_Matrix!$C:$C,2007,Overwash_Matrix!CJ:CJ,1))</f>
        <v/>
      </c>
      <c r="CE27" s="53" t="str">
        <f>IF(COUNTIF(Overwash_Matrix!$C:$C,2007)=0,"",COUNTIFS(Overwash_Matrix!$C:$C,2007,Overwash_Matrix!CK:CK,1))</f>
        <v/>
      </c>
      <c r="CF27" s="53" t="str">
        <f>IF(COUNTIF(Overwash_Matrix!$C:$C,2007)=0,"",COUNTIFS(Overwash_Matrix!$C:$C,2007,Overwash_Matrix!CL:CL,1))</f>
        <v/>
      </c>
      <c r="CG27" s="53" t="str">
        <f>IF(COUNTIF(Overwash_Matrix!$C:$C,2007)=0,"",COUNTIFS(Overwash_Matrix!$C:$C,2007,Overwash_Matrix!CM:CM,1))</f>
        <v/>
      </c>
      <c r="CH27" s="53" t="str">
        <f>IF(COUNTIF(Overwash_Matrix!$C:$C,2007)=0,"",COUNTIFS(Overwash_Matrix!$C:$C,2007,Overwash_Matrix!CN:CN,1))</f>
        <v/>
      </c>
      <c r="CI27" s="53" t="str">
        <f>IF(COUNTIF(Overwash_Matrix!$C:$C,2007)=0,"",COUNTIFS(Overwash_Matrix!$C:$C,2007,Overwash_Matrix!CO:CO,1))</f>
        <v/>
      </c>
      <c r="CJ27" s="53" t="str">
        <f>IF(COUNTIF(Overwash_Matrix!$C:$C,2007)=0,"",COUNTIFS(Overwash_Matrix!$C:$C,2007,Overwash_Matrix!CP:CP,1))</f>
        <v/>
      </c>
      <c r="CK27" s="53" t="str">
        <f>IF(COUNTIF(Overwash_Matrix!$C:$C,2007)=0,"",COUNTIFS(Overwash_Matrix!$C:$C,2007,Overwash_Matrix!CQ:CQ,1))</f>
        <v/>
      </c>
      <c r="CL27" s="53" t="str">
        <f>IF(COUNTIF(Overwash_Matrix!$C:$C,2007)=0,"",COUNTIFS(Overwash_Matrix!$C:$C,2007,Overwash_Matrix!CR:CR,1))</f>
        <v/>
      </c>
      <c r="CM27" s="53" t="str">
        <f>IF(COUNTIF(Overwash_Matrix!$C:$C,2007)=0,"",COUNTIFS(Overwash_Matrix!$C:$C,2007,Overwash_Matrix!CS:CS,1))</f>
        <v/>
      </c>
      <c r="CN27" s="53" t="str">
        <f>IF(COUNTIF(Overwash_Matrix!$C:$C,2007)=0,"",COUNTIFS(Overwash_Matrix!$C:$C,2007,Overwash_Matrix!CT:CT,1))</f>
        <v/>
      </c>
    </row>
    <row r="28" ht="13.5" customHeight="1">
      <c r="A28" s="86">
        <v>2008.0</v>
      </c>
      <c r="B28" s="87">
        <f>COUNTIF(Overwash_Matrix!$C:$C,2008)</f>
        <v>0</v>
      </c>
      <c r="C28" s="57" t="str">
        <f>IF(COUNTIF(Overwash_Matrix!$C:$C,2008)=0,"",COUNTIFS(Overwash_Matrix!$C:$C,2008,Overwash_Matrix!I:I,1))</f>
        <v/>
      </c>
      <c r="D28" s="57" t="str">
        <f>IF(COUNTIF(Overwash_Matrix!$C:$C,2008)=0,"",COUNTIFS(Overwash_Matrix!$C:$C,2008,Overwash_Matrix!J:J,1))</f>
        <v/>
      </c>
      <c r="E28" s="57" t="str">
        <f>IF(COUNTIF(Overwash_Matrix!$C:$C,2008)=0,"",COUNTIFS(Overwash_Matrix!$C:$C,2008,Overwash_Matrix!K:K,1))</f>
        <v/>
      </c>
      <c r="F28" s="57" t="str">
        <f>IF(COUNTIF(Overwash_Matrix!$C:$C,2008)=0,"",COUNTIFS(Overwash_Matrix!$C:$C,2008,Overwash_Matrix!L:L,1))</f>
        <v/>
      </c>
      <c r="G28" s="57" t="str">
        <f>IF(COUNTIF(Overwash_Matrix!$C:$C,2008)=0,"",COUNTIFS(Overwash_Matrix!$C:$C,2008,Overwash_Matrix!M:M,1))</f>
        <v/>
      </c>
      <c r="H28" s="57" t="str">
        <f>IF(COUNTIF(Overwash_Matrix!$C:$C,2008)=0,"",COUNTIFS(Overwash_Matrix!$C:$C,2008,Overwash_Matrix!N:N,1))</f>
        <v/>
      </c>
      <c r="I28" s="57" t="str">
        <f>IF(COUNTIF(Overwash_Matrix!$C:$C,2008)=0,"",COUNTIFS(Overwash_Matrix!$C:$C,2008,Overwash_Matrix!O:O,1))</f>
        <v/>
      </c>
      <c r="J28" s="57" t="str">
        <f>IF(COUNTIF(Overwash_Matrix!$C:$C,2008)=0,"",COUNTIFS(Overwash_Matrix!$C:$C,2008,Overwash_Matrix!P:P,1))</f>
        <v/>
      </c>
      <c r="K28" s="57" t="str">
        <f>IF(COUNTIF(Overwash_Matrix!$C:$C,2008)=0,"",COUNTIFS(Overwash_Matrix!$C:$C,2008,Overwash_Matrix!Q:Q,1))</f>
        <v/>
      </c>
      <c r="L28" s="57" t="str">
        <f>IF(COUNTIF(Overwash_Matrix!$C:$C,2008)=0,"",COUNTIFS(Overwash_Matrix!$C:$C,2008,Overwash_Matrix!R:R,1))</f>
        <v/>
      </c>
      <c r="M28" s="57" t="str">
        <f>IF(COUNTIF(Overwash_Matrix!$C:$C,2008)=0,"",COUNTIFS(Overwash_Matrix!$C:$C,2008,Overwash_Matrix!S:S,1))</f>
        <v/>
      </c>
      <c r="N28" s="57" t="str">
        <f>IF(COUNTIF(Overwash_Matrix!$C:$C,2008)=0,"",COUNTIFS(Overwash_Matrix!$C:$C,2008,Overwash_Matrix!T:T,1))</f>
        <v/>
      </c>
      <c r="O28" s="57" t="str">
        <f>IF(COUNTIF(Overwash_Matrix!$C:$C,2008)=0,"",COUNTIFS(Overwash_Matrix!$C:$C,2008,Overwash_Matrix!U:U,1))</f>
        <v/>
      </c>
      <c r="P28" s="57" t="str">
        <f>IF(COUNTIF(Overwash_Matrix!$C:$C,2008)=0,"",COUNTIFS(Overwash_Matrix!$C:$C,2008,Overwash_Matrix!V:V,1))</f>
        <v/>
      </c>
      <c r="Q28" s="57" t="str">
        <f>IF(COUNTIF(Overwash_Matrix!$C:$C,2008)=0,"",COUNTIFS(Overwash_Matrix!$C:$C,2008,Overwash_Matrix!W:W,1))</f>
        <v/>
      </c>
      <c r="R28" s="57" t="str">
        <f>IF(COUNTIF(Overwash_Matrix!$C:$C,2008)=0,"",COUNTIFS(Overwash_Matrix!$C:$C,2008,Overwash_Matrix!X:X,1))</f>
        <v/>
      </c>
      <c r="S28" s="57" t="str">
        <f>IF(COUNTIF(Overwash_Matrix!$C:$C,2008)=0,"",COUNTIFS(Overwash_Matrix!$C:$C,2008,Overwash_Matrix!Y:Y,1))</f>
        <v/>
      </c>
      <c r="T28" s="57" t="str">
        <f>IF(COUNTIF(Overwash_Matrix!$C:$C,2008)=0,"",COUNTIFS(Overwash_Matrix!$C:$C,2008,Overwash_Matrix!Z:Z,1))</f>
        <v/>
      </c>
      <c r="U28" s="57" t="str">
        <f>IF(COUNTIF(Overwash_Matrix!$C:$C,2008)=0,"",COUNTIFS(Overwash_Matrix!$C:$C,2008,Overwash_Matrix!AA:AA,1))</f>
        <v/>
      </c>
      <c r="V28" s="57" t="str">
        <f>IF(COUNTIF(Overwash_Matrix!$C:$C,2008)=0,"",COUNTIFS(Overwash_Matrix!$C:$C,2008,Overwash_Matrix!AB:AB,1))</f>
        <v/>
      </c>
      <c r="W28" s="57" t="str">
        <f>IF(COUNTIF(Overwash_Matrix!$C:$C,2008)=0,"",COUNTIFS(Overwash_Matrix!$C:$C,2008,Overwash_Matrix!AC:AC,1))</f>
        <v/>
      </c>
      <c r="X28" s="57" t="str">
        <f>IF(COUNTIF(Overwash_Matrix!$C:$C,2008)=0,"",COUNTIFS(Overwash_Matrix!$C:$C,2008,Overwash_Matrix!AD:AD,1))</f>
        <v/>
      </c>
      <c r="Y28" s="57" t="str">
        <f>IF(COUNTIF(Overwash_Matrix!$C:$C,2008)=0,"",COUNTIFS(Overwash_Matrix!$C:$C,2008,Overwash_Matrix!AE:AE,1))</f>
        <v/>
      </c>
      <c r="Z28" s="57" t="str">
        <f>IF(COUNTIF(Overwash_Matrix!$C:$C,2008)=0,"",COUNTIFS(Overwash_Matrix!$C:$C,2008,Overwash_Matrix!AF:AF,1))</f>
        <v/>
      </c>
      <c r="AA28" s="57" t="str">
        <f>IF(COUNTIF(Overwash_Matrix!$C:$C,2008)=0,"",COUNTIFS(Overwash_Matrix!$C:$C,2008,Overwash_Matrix!AG:AG,1))</f>
        <v/>
      </c>
      <c r="AB28" s="57" t="str">
        <f>IF(COUNTIF(Overwash_Matrix!$C:$C,2008)=0,"",COUNTIFS(Overwash_Matrix!$C:$C,2008,Overwash_Matrix!AH:AH,1))</f>
        <v/>
      </c>
      <c r="AC28" s="57" t="str">
        <f>IF(COUNTIF(Overwash_Matrix!$C:$C,2008)=0,"",COUNTIFS(Overwash_Matrix!$C:$C,2008,Overwash_Matrix!AI:AI,1))</f>
        <v/>
      </c>
      <c r="AD28" s="57" t="str">
        <f>IF(COUNTIF(Overwash_Matrix!$C:$C,2008)=0,"",COUNTIFS(Overwash_Matrix!$C:$C,2008,Overwash_Matrix!AJ:AJ,1))</f>
        <v/>
      </c>
      <c r="AE28" s="57" t="str">
        <f>IF(COUNTIF(Overwash_Matrix!$C:$C,2008)=0,"",COUNTIFS(Overwash_Matrix!$C:$C,2008,Overwash_Matrix!AK:AK,1))</f>
        <v/>
      </c>
      <c r="AF28" s="57" t="str">
        <f>IF(COUNTIF(Overwash_Matrix!$C:$C,2008)=0,"",COUNTIFS(Overwash_Matrix!$C:$C,2008,Overwash_Matrix!AL:AL,1))</f>
        <v/>
      </c>
      <c r="AG28" s="57" t="str">
        <f>IF(COUNTIF(Overwash_Matrix!$C:$C,2008)=0,"",COUNTIFS(Overwash_Matrix!$C:$C,2008,Overwash_Matrix!AM:AM,1))</f>
        <v/>
      </c>
      <c r="AH28" s="57" t="str">
        <f>IF(COUNTIF(Overwash_Matrix!$C:$C,2008)=0,"",COUNTIFS(Overwash_Matrix!$C:$C,2008,Overwash_Matrix!AN:AN,1))</f>
        <v/>
      </c>
      <c r="AI28" s="57" t="str">
        <f>IF(COUNTIF(Overwash_Matrix!$C:$C,2008)=0,"",COUNTIFS(Overwash_Matrix!$C:$C,2008,Overwash_Matrix!AO:AO,1))</f>
        <v/>
      </c>
      <c r="AJ28" s="57" t="str">
        <f>IF(COUNTIF(Overwash_Matrix!$C:$C,2008)=0,"",COUNTIFS(Overwash_Matrix!$C:$C,2008,Overwash_Matrix!AP:AP,1))</f>
        <v/>
      </c>
      <c r="AK28" s="57" t="str">
        <f>IF(COUNTIF(Overwash_Matrix!$C:$C,2008)=0,"",COUNTIFS(Overwash_Matrix!$C:$C,2008,Overwash_Matrix!AQ:AQ,1))</f>
        <v/>
      </c>
      <c r="AL28" s="57" t="str">
        <f>IF(COUNTIF(Overwash_Matrix!$C:$C,2008)=0,"",COUNTIFS(Overwash_Matrix!$C:$C,2008,Overwash_Matrix!AR:AR,1))</f>
        <v/>
      </c>
      <c r="AM28" s="57" t="str">
        <f>IF(COUNTIF(Overwash_Matrix!$C:$C,2008)=0,"",COUNTIFS(Overwash_Matrix!$C:$C,2008,Overwash_Matrix!AS:AS,1))</f>
        <v/>
      </c>
      <c r="AN28" s="57" t="str">
        <f>IF(COUNTIF(Overwash_Matrix!$C:$C,2008)=0,"",COUNTIFS(Overwash_Matrix!$C:$C,2008,Overwash_Matrix!AT:AT,1))</f>
        <v/>
      </c>
      <c r="AO28" s="57" t="str">
        <f>IF(COUNTIF(Overwash_Matrix!$C:$C,2008)=0,"",COUNTIFS(Overwash_Matrix!$C:$C,2008,Overwash_Matrix!AU:AU,1))</f>
        <v/>
      </c>
      <c r="AP28" s="57" t="str">
        <f>IF(COUNTIF(Overwash_Matrix!$C:$C,2008)=0,"",COUNTIFS(Overwash_Matrix!$C:$C,2008,Overwash_Matrix!AV:AV,1))</f>
        <v/>
      </c>
      <c r="AQ28" s="57" t="str">
        <f>IF(COUNTIF(Overwash_Matrix!$C:$C,2008)=0,"",COUNTIFS(Overwash_Matrix!$C:$C,2008,Overwash_Matrix!AW:AW,1))</f>
        <v/>
      </c>
      <c r="AR28" s="57" t="str">
        <f>IF(COUNTIF(Overwash_Matrix!$C:$C,2008)=0,"",COUNTIFS(Overwash_Matrix!$C:$C,2008,Overwash_Matrix!AX:AX,1))</f>
        <v/>
      </c>
      <c r="AS28" s="57" t="str">
        <f>IF(COUNTIF(Overwash_Matrix!$C:$C,2008)=0,"",COUNTIFS(Overwash_Matrix!$C:$C,2008,Overwash_Matrix!AY:AY,1))</f>
        <v/>
      </c>
      <c r="AT28" s="57" t="str">
        <f>IF(COUNTIF(Overwash_Matrix!$C:$C,2008)=0,"",COUNTIFS(Overwash_Matrix!$C:$C,2008,Overwash_Matrix!AZ:AZ,1))</f>
        <v/>
      </c>
      <c r="AU28" s="57" t="str">
        <f>IF(COUNTIF(Overwash_Matrix!$C:$C,2008)=0,"",COUNTIFS(Overwash_Matrix!$C:$C,2008,Overwash_Matrix!BA:BA,1))</f>
        <v/>
      </c>
      <c r="AV28" s="57" t="str">
        <f>IF(COUNTIF(Overwash_Matrix!$C:$C,2008)=0,"",COUNTIFS(Overwash_Matrix!$C:$C,2008,Overwash_Matrix!BB:BB,1))</f>
        <v/>
      </c>
      <c r="AW28" s="57" t="str">
        <f>IF(COUNTIF(Overwash_Matrix!$C:$C,2008)=0,"",COUNTIFS(Overwash_Matrix!$C:$C,2008,Overwash_Matrix!BC:BC,1))</f>
        <v/>
      </c>
      <c r="AX28" s="57" t="str">
        <f>IF(COUNTIF(Overwash_Matrix!$C:$C,2008)=0,"",COUNTIFS(Overwash_Matrix!$C:$C,2008,Overwash_Matrix!BD:BD,1))</f>
        <v/>
      </c>
      <c r="AY28" s="57" t="str">
        <f>IF(COUNTIF(Overwash_Matrix!$C:$C,2008)=0,"",COUNTIFS(Overwash_Matrix!$C:$C,2008,Overwash_Matrix!BE:BE,1))</f>
        <v/>
      </c>
      <c r="AZ28" s="57" t="str">
        <f>IF(COUNTIF(Overwash_Matrix!$C:$C,2008)=0,"",COUNTIFS(Overwash_Matrix!$C:$C,2008,Overwash_Matrix!BF:BF,1))</f>
        <v/>
      </c>
      <c r="BA28" s="57" t="str">
        <f>IF(COUNTIF(Overwash_Matrix!$C:$C,2008)=0,"",COUNTIFS(Overwash_Matrix!$C:$C,2008,Overwash_Matrix!BG:BG,1))</f>
        <v/>
      </c>
      <c r="BB28" s="57" t="str">
        <f>IF(COUNTIF(Overwash_Matrix!$C:$C,2008)=0,"",COUNTIFS(Overwash_Matrix!$C:$C,2008,Overwash_Matrix!BH:BH,1))</f>
        <v/>
      </c>
      <c r="BC28" s="57" t="str">
        <f>IF(COUNTIF(Overwash_Matrix!$C:$C,2008)=0,"",COUNTIFS(Overwash_Matrix!$C:$C,2008,Overwash_Matrix!BI:BI,1))</f>
        <v/>
      </c>
      <c r="BD28" s="57" t="str">
        <f>IF(COUNTIF(Overwash_Matrix!$C:$C,2008)=0,"",COUNTIFS(Overwash_Matrix!$C:$C,2008,Overwash_Matrix!BJ:BJ,1))</f>
        <v/>
      </c>
      <c r="BE28" s="57" t="str">
        <f>IF(COUNTIF(Overwash_Matrix!$C:$C,2008)=0,"",COUNTIFS(Overwash_Matrix!$C:$C,2008,Overwash_Matrix!BK:BK,1))</f>
        <v/>
      </c>
      <c r="BF28" s="57" t="str">
        <f>IF(COUNTIF(Overwash_Matrix!$C:$C,2008)=0,"",COUNTIFS(Overwash_Matrix!$C:$C,2008,Overwash_Matrix!BL:BL,1))</f>
        <v/>
      </c>
      <c r="BG28" s="57" t="str">
        <f>IF(COUNTIF(Overwash_Matrix!$C:$C,2008)=0,"",COUNTIFS(Overwash_Matrix!$C:$C,2008,Overwash_Matrix!BM:BM,1))</f>
        <v/>
      </c>
      <c r="BH28" s="57" t="str">
        <f>IF(COUNTIF(Overwash_Matrix!$C:$C,2008)=0,"",COUNTIFS(Overwash_Matrix!$C:$C,2008,Overwash_Matrix!BN:BN,1))</f>
        <v/>
      </c>
      <c r="BI28" s="57" t="str">
        <f>IF(COUNTIF(Overwash_Matrix!$C:$C,2008)=0,"",COUNTIFS(Overwash_Matrix!$C:$C,2008,Overwash_Matrix!BO:BO,1))</f>
        <v/>
      </c>
      <c r="BJ28" s="57" t="str">
        <f>IF(COUNTIF(Overwash_Matrix!$C:$C,2008)=0,"",COUNTIFS(Overwash_Matrix!$C:$C,2008,Overwash_Matrix!BP:BP,1))</f>
        <v/>
      </c>
      <c r="BK28" s="57" t="str">
        <f>IF(COUNTIF(Overwash_Matrix!$C:$C,2008)=0,"",COUNTIFS(Overwash_Matrix!$C:$C,2008,Overwash_Matrix!BQ:BQ,1))</f>
        <v/>
      </c>
      <c r="BL28" s="57" t="str">
        <f>IF(COUNTIF(Overwash_Matrix!$C:$C,2008)=0,"",COUNTIFS(Overwash_Matrix!$C:$C,2008,Overwash_Matrix!BR:BR,1))</f>
        <v/>
      </c>
      <c r="BM28" s="57" t="str">
        <f>IF(COUNTIF(Overwash_Matrix!$C:$C,2008)=0,"",COUNTIFS(Overwash_Matrix!$C:$C,2008,Overwash_Matrix!BS:BS,1))</f>
        <v/>
      </c>
      <c r="BN28" s="57" t="str">
        <f>IF(COUNTIF(Overwash_Matrix!$C:$C,2008)=0,"",COUNTIFS(Overwash_Matrix!$C:$C,2008,Overwash_Matrix!BT:BT,1))</f>
        <v/>
      </c>
      <c r="BO28" s="57" t="str">
        <f>IF(COUNTIF(Overwash_Matrix!$C:$C,2008)=0,"",COUNTIFS(Overwash_Matrix!$C:$C,2008,Overwash_Matrix!BU:BU,1))</f>
        <v/>
      </c>
      <c r="BP28" s="57" t="str">
        <f>IF(COUNTIF(Overwash_Matrix!$C:$C,2008)=0,"",COUNTIFS(Overwash_Matrix!$C:$C,2008,Overwash_Matrix!BV:BV,1))</f>
        <v/>
      </c>
      <c r="BQ28" s="57" t="str">
        <f>IF(COUNTIF(Overwash_Matrix!$C:$C,2008)=0,"",COUNTIFS(Overwash_Matrix!$C:$C,2008,Overwash_Matrix!BW:BW,1))</f>
        <v/>
      </c>
      <c r="BR28" s="57" t="str">
        <f>IF(COUNTIF(Overwash_Matrix!$C:$C,2008)=0,"",COUNTIFS(Overwash_Matrix!$C:$C,2008,Overwash_Matrix!BX:BX,1))</f>
        <v/>
      </c>
      <c r="BS28" s="57" t="str">
        <f>IF(COUNTIF(Overwash_Matrix!$C:$C,2008)=0,"",COUNTIFS(Overwash_Matrix!$C:$C,2008,Overwash_Matrix!BY:BY,1))</f>
        <v/>
      </c>
      <c r="BT28" s="57" t="str">
        <f>IF(COUNTIF(Overwash_Matrix!$C:$C,2008)=0,"",COUNTIFS(Overwash_Matrix!$C:$C,2008,Overwash_Matrix!BZ:BZ,1))</f>
        <v/>
      </c>
      <c r="BU28" s="57" t="str">
        <f>IF(COUNTIF(Overwash_Matrix!$C:$C,2008)=0,"",COUNTIFS(Overwash_Matrix!$C:$C,2008,Overwash_Matrix!CA:CA,1))</f>
        <v/>
      </c>
      <c r="BV28" s="57" t="str">
        <f>IF(COUNTIF(Overwash_Matrix!$C:$C,2008)=0,"",COUNTIFS(Overwash_Matrix!$C:$C,2008,Overwash_Matrix!CB:CB,1))</f>
        <v/>
      </c>
      <c r="BW28" s="57" t="str">
        <f>IF(COUNTIF(Overwash_Matrix!$C:$C,2008)=0,"",COUNTIFS(Overwash_Matrix!$C:$C,2008,Overwash_Matrix!CC:CC,1))</f>
        <v/>
      </c>
      <c r="BX28" s="57" t="str">
        <f>IF(COUNTIF(Overwash_Matrix!$C:$C,2008)=0,"",COUNTIFS(Overwash_Matrix!$C:$C,2008,Overwash_Matrix!CD:CD,1))</f>
        <v/>
      </c>
      <c r="BY28" s="57" t="str">
        <f>IF(COUNTIF(Overwash_Matrix!$C:$C,2008)=0,"",COUNTIFS(Overwash_Matrix!$C:$C,2008,Overwash_Matrix!CE:CE,1))</f>
        <v/>
      </c>
      <c r="BZ28" s="57" t="str">
        <f>IF(COUNTIF(Overwash_Matrix!$C:$C,2008)=0,"",COUNTIFS(Overwash_Matrix!$C:$C,2008,Overwash_Matrix!CF:CF,1))</f>
        <v/>
      </c>
      <c r="CA28" s="57" t="str">
        <f>IF(COUNTIF(Overwash_Matrix!$C:$C,2008)=0,"",COUNTIFS(Overwash_Matrix!$C:$C,2008,Overwash_Matrix!CG:CG,1))</f>
        <v/>
      </c>
      <c r="CB28" s="57" t="str">
        <f>IF(COUNTIF(Overwash_Matrix!$C:$C,2008)=0,"",COUNTIFS(Overwash_Matrix!$C:$C,2008,Overwash_Matrix!CH:CH,1))</f>
        <v/>
      </c>
      <c r="CC28" s="57" t="str">
        <f>IF(COUNTIF(Overwash_Matrix!$C:$C,2008)=0,"",COUNTIFS(Overwash_Matrix!$C:$C,2008,Overwash_Matrix!CI:CI,1))</f>
        <v/>
      </c>
      <c r="CD28" s="57" t="str">
        <f>IF(COUNTIF(Overwash_Matrix!$C:$C,2008)=0,"",COUNTIFS(Overwash_Matrix!$C:$C,2008,Overwash_Matrix!CJ:CJ,1))</f>
        <v/>
      </c>
      <c r="CE28" s="57" t="str">
        <f>IF(COUNTIF(Overwash_Matrix!$C:$C,2008)=0,"",COUNTIFS(Overwash_Matrix!$C:$C,2008,Overwash_Matrix!CK:CK,1))</f>
        <v/>
      </c>
      <c r="CF28" s="57" t="str">
        <f>IF(COUNTIF(Overwash_Matrix!$C:$C,2008)=0,"",COUNTIFS(Overwash_Matrix!$C:$C,2008,Overwash_Matrix!CL:CL,1))</f>
        <v/>
      </c>
      <c r="CG28" s="57" t="str">
        <f>IF(COUNTIF(Overwash_Matrix!$C:$C,2008)=0,"",COUNTIFS(Overwash_Matrix!$C:$C,2008,Overwash_Matrix!CM:CM,1))</f>
        <v/>
      </c>
      <c r="CH28" s="57" t="str">
        <f>IF(COUNTIF(Overwash_Matrix!$C:$C,2008)=0,"",COUNTIFS(Overwash_Matrix!$C:$C,2008,Overwash_Matrix!CN:CN,1))</f>
        <v/>
      </c>
      <c r="CI28" s="57" t="str">
        <f>IF(COUNTIF(Overwash_Matrix!$C:$C,2008)=0,"",COUNTIFS(Overwash_Matrix!$C:$C,2008,Overwash_Matrix!CO:CO,1))</f>
        <v/>
      </c>
      <c r="CJ28" s="57" t="str">
        <f>IF(COUNTIF(Overwash_Matrix!$C:$C,2008)=0,"",COUNTIFS(Overwash_Matrix!$C:$C,2008,Overwash_Matrix!CP:CP,1))</f>
        <v/>
      </c>
      <c r="CK28" s="57" t="str">
        <f>IF(COUNTIF(Overwash_Matrix!$C:$C,2008)=0,"",COUNTIFS(Overwash_Matrix!$C:$C,2008,Overwash_Matrix!CQ:CQ,1))</f>
        <v/>
      </c>
      <c r="CL28" s="57" t="str">
        <f>IF(COUNTIF(Overwash_Matrix!$C:$C,2008)=0,"",COUNTIFS(Overwash_Matrix!$C:$C,2008,Overwash_Matrix!CR:CR,1))</f>
        <v/>
      </c>
      <c r="CM28" s="57" t="str">
        <f>IF(COUNTIF(Overwash_Matrix!$C:$C,2008)=0,"",COUNTIFS(Overwash_Matrix!$C:$C,2008,Overwash_Matrix!CS:CS,1))</f>
        <v/>
      </c>
      <c r="CN28" s="57" t="str">
        <f>IF(COUNTIF(Overwash_Matrix!$C:$C,2008)=0,"",COUNTIFS(Overwash_Matrix!$C:$C,2008,Overwash_Matrix!CT:CT,1))</f>
        <v/>
      </c>
    </row>
    <row r="29" ht="13.5" customHeight="1">
      <c r="A29" s="88">
        <v>2009.0</v>
      </c>
      <c r="B29" s="89">
        <f>COUNTIF(Overwash_Matrix!$C:$C,2009)</f>
        <v>0</v>
      </c>
      <c r="C29" s="53" t="str">
        <f>IF(COUNTIF(Overwash_Matrix!$C:$C,2009)=0,"",COUNTIFS(Overwash_Matrix!$C:$C,2009,Overwash_Matrix!I:I,1))</f>
        <v/>
      </c>
      <c r="D29" s="53" t="str">
        <f>IF(COUNTIF(Overwash_Matrix!$C:$C,2009)=0,"",COUNTIFS(Overwash_Matrix!$C:$C,2009,Overwash_Matrix!J:J,1))</f>
        <v/>
      </c>
      <c r="E29" s="53" t="str">
        <f>IF(COUNTIF(Overwash_Matrix!$C:$C,2009)=0,"",COUNTIFS(Overwash_Matrix!$C:$C,2009,Overwash_Matrix!K:K,1))</f>
        <v/>
      </c>
      <c r="F29" s="53" t="str">
        <f>IF(COUNTIF(Overwash_Matrix!$C:$C,2009)=0,"",COUNTIFS(Overwash_Matrix!$C:$C,2009,Overwash_Matrix!L:L,1))</f>
        <v/>
      </c>
      <c r="G29" s="53" t="str">
        <f>IF(COUNTIF(Overwash_Matrix!$C:$C,2009)=0,"",COUNTIFS(Overwash_Matrix!$C:$C,2009,Overwash_Matrix!M:M,1))</f>
        <v/>
      </c>
      <c r="H29" s="53" t="str">
        <f>IF(COUNTIF(Overwash_Matrix!$C:$C,2009)=0,"",COUNTIFS(Overwash_Matrix!$C:$C,2009,Overwash_Matrix!N:N,1))</f>
        <v/>
      </c>
      <c r="I29" s="53" t="str">
        <f>IF(COUNTIF(Overwash_Matrix!$C:$C,2009)=0,"",COUNTIFS(Overwash_Matrix!$C:$C,2009,Overwash_Matrix!O:O,1))</f>
        <v/>
      </c>
      <c r="J29" s="53" t="str">
        <f>IF(COUNTIF(Overwash_Matrix!$C:$C,2009)=0,"",COUNTIFS(Overwash_Matrix!$C:$C,2009,Overwash_Matrix!P:P,1))</f>
        <v/>
      </c>
      <c r="K29" s="53" t="str">
        <f>IF(COUNTIF(Overwash_Matrix!$C:$C,2009)=0,"",COUNTIFS(Overwash_Matrix!$C:$C,2009,Overwash_Matrix!Q:Q,1))</f>
        <v/>
      </c>
      <c r="L29" s="53" t="str">
        <f>IF(COUNTIF(Overwash_Matrix!$C:$C,2009)=0,"",COUNTIFS(Overwash_Matrix!$C:$C,2009,Overwash_Matrix!R:R,1))</f>
        <v/>
      </c>
      <c r="M29" s="53" t="str">
        <f>IF(COUNTIF(Overwash_Matrix!$C:$C,2009)=0,"",COUNTIFS(Overwash_Matrix!$C:$C,2009,Overwash_Matrix!S:S,1))</f>
        <v/>
      </c>
      <c r="N29" s="53" t="str">
        <f>IF(COUNTIF(Overwash_Matrix!$C:$C,2009)=0,"",COUNTIFS(Overwash_Matrix!$C:$C,2009,Overwash_Matrix!T:T,1))</f>
        <v/>
      </c>
      <c r="O29" s="53" t="str">
        <f>IF(COUNTIF(Overwash_Matrix!$C:$C,2009)=0,"",COUNTIFS(Overwash_Matrix!$C:$C,2009,Overwash_Matrix!U:U,1))</f>
        <v/>
      </c>
      <c r="P29" s="53" t="str">
        <f>IF(COUNTIF(Overwash_Matrix!$C:$C,2009)=0,"",COUNTIFS(Overwash_Matrix!$C:$C,2009,Overwash_Matrix!V:V,1))</f>
        <v/>
      </c>
      <c r="Q29" s="53" t="str">
        <f>IF(COUNTIF(Overwash_Matrix!$C:$C,2009)=0,"",COUNTIFS(Overwash_Matrix!$C:$C,2009,Overwash_Matrix!W:W,1))</f>
        <v/>
      </c>
      <c r="R29" s="53" t="str">
        <f>IF(COUNTIF(Overwash_Matrix!$C:$C,2009)=0,"",COUNTIFS(Overwash_Matrix!$C:$C,2009,Overwash_Matrix!X:X,1))</f>
        <v/>
      </c>
      <c r="S29" s="53" t="str">
        <f>IF(COUNTIF(Overwash_Matrix!$C:$C,2009)=0,"",COUNTIFS(Overwash_Matrix!$C:$C,2009,Overwash_Matrix!Y:Y,1))</f>
        <v/>
      </c>
      <c r="T29" s="53" t="str">
        <f>IF(COUNTIF(Overwash_Matrix!$C:$C,2009)=0,"",COUNTIFS(Overwash_Matrix!$C:$C,2009,Overwash_Matrix!Z:Z,1))</f>
        <v/>
      </c>
      <c r="U29" s="53" t="str">
        <f>IF(COUNTIF(Overwash_Matrix!$C:$C,2009)=0,"",COUNTIFS(Overwash_Matrix!$C:$C,2009,Overwash_Matrix!AA:AA,1))</f>
        <v/>
      </c>
      <c r="V29" s="53" t="str">
        <f>IF(COUNTIF(Overwash_Matrix!$C:$C,2009)=0,"",COUNTIFS(Overwash_Matrix!$C:$C,2009,Overwash_Matrix!AB:AB,1))</f>
        <v/>
      </c>
      <c r="W29" s="53" t="str">
        <f>IF(COUNTIF(Overwash_Matrix!$C:$C,2009)=0,"",COUNTIFS(Overwash_Matrix!$C:$C,2009,Overwash_Matrix!AC:AC,1))</f>
        <v/>
      </c>
      <c r="X29" s="53" t="str">
        <f>IF(COUNTIF(Overwash_Matrix!$C:$C,2009)=0,"",COUNTIFS(Overwash_Matrix!$C:$C,2009,Overwash_Matrix!AD:AD,1))</f>
        <v/>
      </c>
      <c r="Y29" s="53" t="str">
        <f>IF(COUNTIF(Overwash_Matrix!$C:$C,2009)=0,"",COUNTIFS(Overwash_Matrix!$C:$C,2009,Overwash_Matrix!AE:AE,1))</f>
        <v/>
      </c>
      <c r="Z29" s="53" t="str">
        <f>IF(COUNTIF(Overwash_Matrix!$C:$C,2009)=0,"",COUNTIFS(Overwash_Matrix!$C:$C,2009,Overwash_Matrix!AF:AF,1))</f>
        <v/>
      </c>
      <c r="AA29" s="53" t="str">
        <f>IF(COUNTIF(Overwash_Matrix!$C:$C,2009)=0,"",COUNTIFS(Overwash_Matrix!$C:$C,2009,Overwash_Matrix!AG:AG,1))</f>
        <v/>
      </c>
      <c r="AB29" s="53" t="str">
        <f>IF(COUNTIF(Overwash_Matrix!$C:$C,2009)=0,"",COUNTIFS(Overwash_Matrix!$C:$C,2009,Overwash_Matrix!AH:AH,1))</f>
        <v/>
      </c>
      <c r="AC29" s="53" t="str">
        <f>IF(COUNTIF(Overwash_Matrix!$C:$C,2009)=0,"",COUNTIFS(Overwash_Matrix!$C:$C,2009,Overwash_Matrix!AI:AI,1))</f>
        <v/>
      </c>
      <c r="AD29" s="53" t="str">
        <f>IF(COUNTIF(Overwash_Matrix!$C:$C,2009)=0,"",COUNTIFS(Overwash_Matrix!$C:$C,2009,Overwash_Matrix!AJ:AJ,1))</f>
        <v/>
      </c>
      <c r="AE29" s="53" t="str">
        <f>IF(COUNTIF(Overwash_Matrix!$C:$C,2009)=0,"",COUNTIFS(Overwash_Matrix!$C:$C,2009,Overwash_Matrix!AK:AK,1))</f>
        <v/>
      </c>
      <c r="AF29" s="53" t="str">
        <f>IF(COUNTIF(Overwash_Matrix!$C:$C,2009)=0,"",COUNTIFS(Overwash_Matrix!$C:$C,2009,Overwash_Matrix!AL:AL,1))</f>
        <v/>
      </c>
      <c r="AG29" s="53" t="str">
        <f>IF(COUNTIF(Overwash_Matrix!$C:$C,2009)=0,"",COUNTIFS(Overwash_Matrix!$C:$C,2009,Overwash_Matrix!AM:AM,1))</f>
        <v/>
      </c>
      <c r="AH29" s="53" t="str">
        <f>IF(COUNTIF(Overwash_Matrix!$C:$C,2009)=0,"",COUNTIFS(Overwash_Matrix!$C:$C,2009,Overwash_Matrix!AN:AN,1))</f>
        <v/>
      </c>
      <c r="AI29" s="53" t="str">
        <f>IF(COUNTIF(Overwash_Matrix!$C:$C,2009)=0,"",COUNTIFS(Overwash_Matrix!$C:$C,2009,Overwash_Matrix!AO:AO,1))</f>
        <v/>
      </c>
      <c r="AJ29" s="53" t="str">
        <f>IF(COUNTIF(Overwash_Matrix!$C:$C,2009)=0,"",COUNTIFS(Overwash_Matrix!$C:$C,2009,Overwash_Matrix!AP:AP,1))</f>
        <v/>
      </c>
      <c r="AK29" s="53" t="str">
        <f>IF(COUNTIF(Overwash_Matrix!$C:$C,2009)=0,"",COUNTIFS(Overwash_Matrix!$C:$C,2009,Overwash_Matrix!AQ:AQ,1))</f>
        <v/>
      </c>
      <c r="AL29" s="53" t="str">
        <f>IF(COUNTIF(Overwash_Matrix!$C:$C,2009)=0,"",COUNTIFS(Overwash_Matrix!$C:$C,2009,Overwash_Matrix!AR:AR,1))</f>
        <v/>
      </c>
      <c r="AM29" s="53" t="str">
        <f>IF(COUNTIF(Overwash_Matrix!$C:$C,2009)=0,"",COUNTIFS(Overwash_Matrix!$C:$C,2009,Overwash_Matrix!AS:AS,1))</f>
        <v/>
      </c>
      <c r="AN29" s="53" t="str">
        <f>IF(COUNTIF(Overwash_Matrix!$C:$C,2009)=0,"",COUNTIFS(Overwash_Matrix!$C:$C,2009,Overwash_Matrix!AT:AT,1))</f>
        <v/>
      </c>
      <c r="AO29" s="53" t="str">
        <f>IF(COUNTIF(Overwash_Matrix!$C:$C,2009)=0,"",COUNTIFS(Overwash_Matrix!$C:$C,2009,Overwash_Matrix!AU:AU,1))</f>
        <v/>
      </c>
      <c r="AP29" s="53" t="str">
        <f>IF(COUNTIF(Overwash_Matrix!$C:$C,2009)=0,"",COUNTIFS(Overwash_Matrix!$C:$C,2009,Overwash_Matrix!AV:AV,1))</f>
        <v/>
      </c>
      <c r="AQ29" s="53" t="str">
        <f>IF(COUNTIF(Overwash_Matrix!$C:$C,2009)=0,"",COUNTIFS(Overwash_Matrix!$C:$C,2009,Overwash_Matrix!AW:AW,1))</f>
        <v/>
      </c>
      <c r="AR29" s="53" t="str">
        <f>IF(COUNTIF(Overwash_Matrix!$C:$C,2009)=0,"",COUNTIFS(Overwash_Matrix!$C:$C,2009,Overwash_Matrix!AX:AX,1))</f>
        <v/>
      </c>
      <c r="AS29" s="53" t="str">
        <f>IF(COUNTIF(Overwash_Matrix!$C:$C,2009)=0,"",COUNTIFS(Overwash_Matrix!$C:$C,2009,Overwash_Matrix!AY:AY,1))</f>
        <v/>
      </c>
      <c r="AT29" s="53" t="str">
        <f>IF(COUNTIF(Overwash_Matrix!$C:$C,2009)=0,"",COUNTIFS(Overwash_Matrix!$C:$C,2009,Overwash_Matrix!AZ:AZ,1))</f>
        <v/>
      </c>
      <c r="AU29" s="53" t="str">
        <f>IF(COUNTIF(Overwash_Matrix!$C:$C,2009)=0,"",COUNTIFS(Overwash_Matrix!$C:$C,2009,Overwash_Matrix!BA:BA,1))</f>
        <v/>
      </c>
      <c r="AV29" s="53" t="str">
        <f>IF(COUNTIF(Overwash_Matrix!$C:$C,2009)=0,"",COUNTIFS(Overwash_Matrix!$C:$C,2009,Overwash_Matrix!BB:BB,1))</f>
        <v/>
      </c>
      <c r="AW29" s="53" t="str">
        <f>IF(COUNTIF(Overwash_Matrix!$C:$C,2009)=0,"",COUNTIFS(Overwash_Matrix!$C:$C,2009,Overwash_Matrix!BC:BC,1))</f>
        <v/>
      </c>
      <c r="AX29" s="53" t="str">
        <f>IF(COUNTIF(Overwash_Matrix!$C:$C,2009)=0,"",COUNTIFS(Overwash_Matrix!$C:$C,2009,Overwash_Matrix!BD:BD,1))</f>
        <v/>
      </c>
      <c r="AY29" s="53" t="str">
        <f>IF(COUNTIF(Overwash_Matrix!$C:$C,2009)=0,"",COUNTIFS(Overwash_Matrix!$C:$C,2009,Overwash_Matrix!BE:BE,1))</f>
        <v/>
      </c>
      <c r="AZ29" s="53" t="str">
        <f>IF(COUNTIF(Overwash_Matrix!$C:$C,2009)=0,"",COUNTIFS(Overwash_Matrix!$C:$C,2009,Overwash_Matrix!BF:BF,1))</f>
        <v/>
      </c>
      <c r="BA29" s="53" t="str">
        <f>IF(COUNTIF(Overwash_Matrix!$C:$C,2009)=0,"",COUNTIFS(Overwash_Matrix!$C:$C,2009,Overwash_Matrix!BG:BG,1))</f>
        <v/>
      </c>
      <c r="BB29" s="53" t="str">
        <f>IF(COUNTIF(Overwash_Matrix!$C:$C,2009)=0,"",COUNTIFS(Overwash_Matrix!$C:$C,2009,Overwash_Matrix!BH:BH,1))</f>
        <v/>
      </c>
      <c r="BC29" s="53" t="str">
        <f>IF(COUNTIF(Overwash_Matrix!$C:$C,2009)=0,"",COUNTIFS(Overwash_Matrix!$C:$C,2009,Overwash_Matrix!BI:BI,1))</f>
        <v/>
      </c>
      <c r="BD29" s="53" t="str">
        <f>IF(COUNTIF(Overwash_Matrix!$C:$C,2009)=0,"",COUNTIFS(Overwash_Matrix!$C:$C,2009,Overwash_Matrix!BJ:BJ,1))</f>
        <v/>
      </c>
      <c r="BE29" s="53" t="str">
        <f>IF(COUNTIF(Overwash_Matrix!$C:$C,2009)=0,"",COUNTIFS(Overwash_Matrix!$C:$C,2009,Overwash_Matrix!BK:BK,1))</f>
        <v/>
      </c>
      <c r="BF29" s="53" t="str">
        <f>IF(COUNTIF(Overwash_Matrix!$C:$C,2009)=0,"",COUNTIFS(Overwash_Matrix!$C:$C,2009,Overwash_Matrix!BL:BL,1))</f>
        <v/>
      </c>
      <c r="BG29" s="53" t="str">
        <f>IF(COUNTIF(Overwash_Matrix!$C:$C,2009)=0,"",COUNTIFS(Overwash_Matrix!$C:$C,2009,Overwash_Matrix!BM:BM,1))</f>
        <v/>
      </c>
      <c r="BH29" s="53" t="str">
        <f>IF(COUNTIF(Overwash_Matrix!$C:$C,2009)=0,"",COUNTIFS(Overwash_Matrix!$C:$C,2009,Overwash_Matrix!BN:BN,1))</f>
        <v/>
      </c>
      <c r="BI29" s="53" t="str">
        <f>IF(COUNTIF(Overwash_Matrix!$C:$C,2009)=0,"",COUNTIFS(Overwash_Matrix!$C:$C,2009,Overwash_Matrix!BO:BO,1))</f>
        <v/>
      </c>
      <c r="BJ29" s="53" t="str">
        <f>IF(COUNTIF(Overwash_Matrix!$C:$C,2009)=0,"",COUNTIFS(Overwash_Matrix!$C:$C,2009,Overwash_Matrix!BP:BP,1))</f>
        <v/>
      </c>
      <c r="BK29" s="53" t="str">
        <f>IF(COUNTIF(Overwash_Matrix!$C:$C,2009)=0,"",COUNTIFS(Overwash_Matrix!$C:$C,2009,Overwash_Matrix!BQ:BQ,1))</f>
        <v/>
      </c>
      <c r="BL29" s="53" t="str">
        <f>IF(COUNTIF(Overwash_Matrix!$C:$C,2009)=0,"",COUNTIFS(Overwash_Matrix!$C:$C,2009,Overwash_Matrix!BR:BR,1))</f>
        <v/>
      </c>
      <c r="BM29" s="53" t="str">
        <f>IF(COUNTIF(Overwash_Matrix!$C:$C,2009)=0,"",COUNTIFS(Overwash_Matrix!$C:$C,2009,Overwash_Matrix!BS:BS,1))</f>
        <v/>
      </c>
      <c r="BN29" s="53" t="str">
        <f>IF(COUNTIF(Overwash_Matrix!$C:$C,2009)=0,"",COUNTIFS(Overwash_Matrix!$C:$C,2009,Overwash_Matrix!BT:BT,1))</f>
        <v/>
      </c>
      <c r="BO29" s="53" t="str">
        <f>IF(COUNTIF(Overwash_Matrix!$C:$C,2009)=0,"",COUNTIFS(Overwash_Matrix!$C:$C,2009,Overwash_Matrix!BU:BU,1))</f>
        <v/>
      </c>
      <c r="BP29" s="53" t="str">
        <f>IF(COUNTIF(Overwash_Matrix!$C:$C,2009)=0,"",COUNTIFS(Overwash_Matrix!$C:$C,2009,Overwash_Matrix!BV:BV,1))</f>
        <v/>
      </c>
      <c r="BQ29" s="53" t="str">
        <f>IF(COUNTIF(Overwash_Matrix!$C:$C,2009)=0,"",COUNTIFS(Overwash_Matrix!$C:$C,2009,Overwash_Matrix!BW:BW,1))</f>
        <v/>
      </c>
      <c r="BR29" s="53" t="str">
        <f>IF(COUNTIF(Overwash_Matrix!$C:$C,2009)=0,"",COUNTIFS(Overwash_Matrix!$C:$C,2009,Overwash_Matrix!BX:BX,1))</f>
        <v/>
      </c>
      <c r="BS29" s="53" t="str">
        <f>IF(COUNTIF(Overwash_Matrix!$C:$C,2009)=0,"",COUNTIFS(Overwash_Matrix!$C:$C,2009,Overwash_Matrix!BY:BY,1))</f>
        <v/>
      </c>
      <c r="BT29" s="53" t="str">
        <f>IF(COUNTIF(Overwash_Matrix!$C:$C,2009)=0,"",COUNTIFS(Overwash_Matrix!$C:$C,2009,Overwash_Matrix!BZ:BZ,1))</f>
        <v/>
      </c>
      <c r="BU29" s="53" t="str">
        <f>IF(COUNTIF(Overwash_Matrix!$C:$C,2009)=0,"",COUNTIFS(Overwash_Matrix!$C:$C,2009,Overwash_Matrix!CA:CA,1))</f>
        <v/>
      </c>
      <c r="BV29" s="53" t="str">
        <f>IF(COUNTIF(Overwash_Matrix!$C:$C,2009)=0,"",COUNTIFS(Overwash_Matrix!$C:$C,2009,Overwash_Matrix!CB:CB,1))</f>
        <v/>
      </c>
      <c r="BW29" s="53" t="str">
        <f>IF(COUNTIF(Overwash_Matrix!$C:$C,2009)=0,"",COUNTIFS(Overwash_Matrix!$C:$C,2009,Overwash_Matrix!CC:CC,1))</f>
        <v/>
      </c>
      <c r="BX29" s="53" t="str">
        <f>IF(COUNTIF(Overwash_Matrix!$C:$C,2009)=0,"",COUNTIFS(Overwash_Matrix!$C:$C,2009,Overwash_Matrix!CD:CD,1))</f>
        <v/>
      </c>
      <c r="BY29" s="53" t="str">
        <f>IF(COUNTIF(Overwash_Matrix!$C:$C,2009)=0,"",COUNTIFS(Overwash_Matrix!$C:$C,2009,Overwash_Matrix!CE:CE,1))</f>
        <v/>
      </c>
      <c r="BZ29" s="53" t="str">
        <f>IF(COUNTIF(Overwash_Matrix!$C:$C,2009)=0,"",COUNTIFS(Overwash_Matrix!$C:$C,2009,Overwash_Matrix!CF:CF,1))</f>
        <v/>
      </c>
      <c r="CA29" s="53" t="str">
        <f>IF(COUNTIF(Overwash_Matrix!$C:$C,2009)=0,"",COUNTIFS(Overwash_Matrix!$C:$C,2009,Overwash_Matrix!CG:CG,1))</f>
        <v/>
      </c>
      <c r="CB29" s="53" t="str">
        <f>IF(COUNTIF(Overwash_Matrix!$C:$C,2009)=0,"",COUNTIFS(Overwash_Matrix!$C:$C,2009,Overwash_Matrix!CH:CH,1))</f>
        <v/>
      </c>
      <c r="CC29" s="53" t="str">
        <f>IF(COUNTIF(Overwash_Matrix!$C:$C,2009)=0,"",COUNTIFS(Overwash_Matrix!$C:$C,2009,Overwash_Matrix!CI:CI,1))</f>
        <v/>
      </c>
      <c r="CD29" s="53" t="str">
        <f>IF(COUNTIF(Overwash_Matrix!$C:$C,2009)=0,"",COUNTIFS(Overwash_Matrix!$C:$C,2009,Overwash_Matrix!CJ:CJ,1))</f>
        <v/>
      </c>
      <c r="CE29" s="53" t="str">
        <f>IF(COUNTIF(Overwash_Matrix!$C:$C,2009)=0,"",COUNTIFS(Overwash_Matrix!$C:$C,2009,Overwash_Matrix!CK:CK,1))</f>
        <v/>
      </c>
      <c r="CF29" s="53" t="str">
        <f>IF(COUNTIF(Overwash_Matrix!$C:$C,2009)=0,"",COUNTIFS(Overwash_Matrix!$C:$C,2009,Overwash_Matrix!CL:CL,1))</f>
        <v/>
      </c>
      <c r="CG29" s="53" t="str">
        <f>IF(COUNTIF(Overwash_Matrix!$C:$C,2009)=0,"",COUNTIFS(Overwash_Matrix!$C:$C,2009,Overwash_Matrix!CM:CM,1))</f>
        <v/>
      </c>
      <c r="CH29" s="53" t="str">
        <f>IF(COUNTIF(Overwash_Matrix!$C:$C,2009)=0,"",COUNTIFS(Overwash_Matrix!$C:$C,2009,Overwash_Matrix!CN:CN,1))</f>
        <v/>
      </c>
      <c r="CI29" s="53" t="str">
        <f>IF(COUNTIF(Overwash_Matrix!$C:$C,2009)=0,"",COUNTIFS(Overwash_Matrix!$C:$C,2009,Overwash_Matrix!CO:CO,1))</f>
        <v/>
      </c>
      <c r="CJ29" s="53" t="str">
        <f>IF(COUNTIF(Overwash_Matrix!$C:$C,2009)=0,"",COUNTIFS(Overwash_Matrix!$C:$C,2009,Overwash_Matrix!CP:CP,1))</f>
        <v/>
      </c>
      <c r="CK29" s="53" t="str">
        <f>IF(COUNTIF(Overwash_Matrix!$C:$C,2009)=0,"",COUNTIFS(Overwash_Matrix!$C:$C,2009,Overwash_Matrix!CQ:CQ,1))</f>
        <v/>
      </c>
      <c r="CL29" s="53" t="str">
        <f>IF(COUNTIF(Overwash_Matrix!$C:$C,2009)=0,"",COUNTIFS(Overwash_Matrix!$C:$C,2009,Overwash_Matrix!CR:CR,1))</f>
        <v/>
      </c>
      <c r="CM29" s="53" t="str">
        <f>IF(COUNTIF(Overwash_Matrix!$C:$C,2009)=0,"",COUNTIFS(Overwash_Matrix!$C:$C,2009,Overwash_Matrix!CS:CS,1))</f>
        <v/>
      </c>
      <c r="CN29" s="53" t="str">
        <f>IF(COUNTIF(Overwash_Matrix!$C:$C,2009)=0,"",COUNTIFS(Overwash_Matrix!$C:$C,2009,Overwash_Matrix!CT:CT,1))</f>
        <v/>
      </c>
    </row>
    <row r="30" ht="13.5" customHeight="1">
      <c r="A30" s="86">
        <v>2010.0</v>
      </c>
      <c r="B30" s="87">
        <f>COUNTIF(Overwash_Matrix!$C:$C,2010)</f>
        <v>0</v>
      </c>
      <c r="C30" s="57" t="str">
        <f>IF(COUNTIF(Overwash_Matrix!$C:$C,2010)=0,"",COUNTIFS(Overwash_Matrix!$C:$C,2010,Overwash_Matrix!I:I,1))</f>
        <v/>
      </c>
      <c r="D30" s="57" t="str">
        <f>IF(COUNTIF(Overwash_Matrix!$C:$C,2010)=0,"",COUNTIFS(Overwash_Matrix!$C:$C,2010,Overwash_Matrix!J:J,1))</f>
        <v/>
      </c>
      <c r="E30" s="57" t="str">
        <f>IF(COUNTIF(Overwash_Matrix!$C:$C,2010)=0,"",COUNTIFS(Overwash_Matrix!$C:$C,2010,Overwash_Matrix!K:K,1))</f>
        <v/>
      </c>
      <c r="F30" s="57" t="str">
        <f>IF(COUNTIF(Overwash_Matrix!$C:$C,2010)=0,"",COUNTIFS(Overwash_Matrix!$C:$C,2010,Overwash_Matrix!L:L,1))</f>
        <v/>
      </c>
      <c r="G30" s="57" t="str">
        <f>IF(COUNTIF(Overwash_Matrix!$C:$C,2010)=0,"",COUNTIFS(Overwash_Matrix!$C:$C,2010,Overwash_Matrix!M:M,1))</f>
        <v/>
      </c>
      <c r="H30" s="57" t="str">
        <f>IF(COUNTIF(Overwash_Matrix!$C:$C,2010)=0,"",COUNTIFS(Overwash_Matrix!$C:$C,2010,Overwash_Matrix!N:N,1))</f>
        <v/>
      </c>
      <c r="I30" s="57" t="str">
        <f>IF(COUNTIF(Overwash_Matrix!$C:$C,2010)=0,"",COUNTIFS(Overwash_Matrix!$C:$C,2010,Overwash_Matrix!O:O,1))</f>
        <v/>
      </c>
      <c r="J30" s="57" t="str">
        <f>IF(COUNTIF(Overwash_Matrix!$C:$C,2010)=0,"",COUNTIFS(Overwash_Matrix!$C:$C,2010,Overwash_Matrix!P:P,1))</f>
        <v/>
      </c>
      <c r="K30" s="57" t="str">
        <f>IF(COUNTIF(Overwash_Matrix!$C:$C,2010)=0,"",COUNTIFS(Overwash_Matrix!$C:$C,2010,Overwash_Matrix!Q:Q,1))</f>
        <v/>
      </c>
      <c r="L30" s="57" t="str">
        <f>IF(COUNTIF(Overwash_Matrix!$C:$C,2010)=0,"",COUNTIFS(Overwash_Matrix!$C:$C,2010,Overwash_Matrix!R:R,1))</f>
        <v/>
      </c>
      <c r="M30" s="57" t="str">
        <f>IF(COUNTIF(Overwash_Matrix!$C:$C,2010)=0,"",COUNTIFS(Overwash_Matrix!$C:$C,2010,Overwash_Matrix!S:S,1))</f>
        <v/>
      </c>
      <c r="N30" s="57" t="str">
        <f>IF(COUNTIF(Overwash_Matrix!$C:$C,2010)=0,"",COUNTIFS(Overwash_Matrix!$C:$C,2010,Overwash_Matrix!T:T,1))</f>
        <v/>
      </c>
      <c r="O30" s="57" t="str">
        <f>IF(COUNTIF(Overwash_Matrix!$C:$C,2010)=0,"",COUNTIFS(Overwash_Matrix!$C:$C,2010,Overwash_Matrix!U:U,1))</f>
        <v/>
      </c>
      <c r="P30" s="57" t="str">
        <f>IF(COUNTIF(Overwash_Matrix!$C:$C,2010)=0,"",COUNTIFS(Overwash_Matrix!$C:$C,2010,Overwash_Matrix!V:V,1))</f>
        <v/>
      </c>
      <c r="Q30" s="57" t="str">
        <f>IF(COUNTIF(Overwash_Matrix!$C:$C,2010)=0,"",COUNTIFS(Overwash_Matrix!$C:$C,2010,Overwash_Matrix!W:W,1))</f>
        <v/>
      </c>
      <c r="R30" s="57" t="str">
        <f>IF(COUNTIF(Overwash_Matrix!$C:$C,2010)=0,"",COUNTIFS(Overwash_Matrix!$C:$C,2010,Overwash_Matrix!X:X,1))</f>
        <v/>
      </c>
      <c r="S30" s="57" t="str">
        <f>IF(COUNTIF(Overwash_Matrix!$C:$C,2010)=0,"",COUNTIFS(Overwash_Matrix!$C:$C,2010,Overwash_Matrix!Y:Y,1))</f>
        <v/>
      </c>
      <c r="T30" s="57" t="str">
        <f>IF(COUNTIF(Overwash_Matrix!$C:$C,2010)=0,"",COUNTIFS(Overwash_Matrix!$C:$C,2010,Overwash_Matrix!Z:Z,1))</f>
        <v/>
      </c>
      <c r="U30" s="57" t="str">
        <f>IF(COUNTIF(Overwash_Matrix!$C:$C,2010)=0,"",COUNTIFS(Overwash_Matrix!$C:$C,2010,Overwash_Matrix!AA:AA,1))</f>
        <v/>
      </c>
      <c r="V30" s="57" t="str">
        <f>IF(COUNTIF(Overwash_Matrix!$C:$C,2010)=0,"",COUNTIFS(Overwash_Matrix!$C:$C,2010,Overwash_Matrix!AB:AB,1))</f>
        <v/>
      </c>
      <c r="W30" s="57" t="str">
        <f>IF(COUNTIF(Overwash_Matrix!$C:$C,2010)=0,"",COUNTIFS(Overwash_Matrix!$C:$C,2010,Overwash_Matrix!AC:AC,1))</f>
        <v/>
      </c>
      <c r="X30" s="57" t="str">
        <f>IF(COUNTIF(Overwash_Matrix!$C:$C,2010)=0,"",COUNTIFS(Overwash_Matrix!$C:$C,2010,Overwash_Matrix!AD:AD,1))</f>
        <v/>
      </c>
      <c r="Y30" s="57" t="str">
        <f>IF(COUNTIF(Overwash_Matrix!$C:$C,2010)=0,"",COUNTIFS(Overwash_Matrix!$C:$C,2010,Overwash_Matrix!AE:AE,1))</f>
        <v/>
      </c>
      <c r="Z30" s="57" t="str">
        <f>IF(COUNTIF(Overwash_Matrix!$C:$C,2010)=0,"",COUNTIFS(Overwash_Matrix!$C:$C,2010,Overwash_Matrix!AF:AF,1))</f>
        <v/>
      </c>
      <c r="AA30" s="57" t="str">
        <f>IF(COUNTIF(Overwash_Matrix!$C:$C,2010)=0,"",COUNTIFS(Overwash_Matrix!$C:$C,2010,Overwash_Matrix!AG:AG,1))</f>
        <v/>
      </c>
      <c r="AB30" s="57" t="str">
        <f>IF(COUNTIF(Overwash_Matrix!$C:$C,2010)=0,"",COUNTIFS(Overwash_Matrix!$C:$C,2010,Overwash_Matrix!AH:AH,1))</f>
        <v/>
      </c>
      <c r="AC30" s="57" t="str">
        <f>IF(COUNTIF(Overwash_Matrix!$C:$C,2010)=0,"",COUNTIFS(Overwash_Matrix!$C:$C,2010,Overwash_Matrix!AI:AI,1))</f>
        <v/>
      </c>
      <c r="AD30" s="57" t="str">
        <f>IF(COUNTIF(Overwash_Matrix!$C:$C,2010)=0,"",COUNTIFS(Overwash_Matrix!$C:$C,2010,Overwash_Matrix!AJ:AJ,1))</f>
        <v/>
      </c>
      <c r="AE30" s="57" t="str">
        <f>IF(COUNTIF(Overwash_Matrix!$C:$C,2010)=0,"",COUNTIFS(Overwash_Matrix!$C:$C,2010,Overwash_Matrix!AK:AK,1))</f>
        <v/>
      </c>
      <c r="AF30" s="57" t="str">
        <f>IF(COUNTIF(Overwash_Matrix!$C:$C,2010)=0,"",COUNTIFS(Overwash_Matrix!$C:$C,2010,Overwash_Matrix!AL:AL,1))</f>
        <v/>
      </c>
      <c r="AG30" s="57" t="str">
        <f>IF(COUNTIF(Overwash_Matrix!$C:$C,2010)=0,"",COUNTIFS(Overwash_Matrix!$C:$C,2010,Overwash_Matrix!AM:AM,1))</f>
        <v/>
      </c>
      <c r="AH30" s="57" t="str">
        <f>IF(COUNTIF(Overwash_Matrix!$C:$C,2010)=0,"",COUNTIFS(Overwash_Matrix!$C:$C,2010,Overwash_Matrix!AN:AN,1))</f>
        <v/>
      </c>
      <c r="AI30" s="57" t="str">
        <f>IF(COUNTIF(Overwash_Matrix!$C:$C,2010)=0,"",COUNTIFS(Overwash_Matrix!$C:$C,2010,Overwash_Matrix!AO:AO,1))</f>
        <v/>
      </c>
      <c r="AJ30" s="57" t="str">
        <f>IF(COUNTIF(Overwash_Matrix!$C:$C,2010)=0,"",COUNTIFS(Overwash_Matrix!$C:$C,2010,Overwash_Matrix!AP:AP,1))</f>
        <v/>
      </c>
      <c r="AK30" s="57" t="str">
        <f>IF(COUNTIF(Overwash_Matrix!$C:$C,2010)=0,"",COUNTIFS(Overwash_Matrix!$C:$C,2010,Overwash_Matrix!AQ:AQ,1))</f>
        <v/>
      </c>
      <c r="AL30" s="57" t="str">
        <f>IF(COUNTIF(Overwash_Matrix!$C:$C,2010)=0,"",COUNTIFS(Overwash_Matrix!$C:$C,2010,Overwash_Matrix!AR:AR,1))</f>
        <v/>
      </c>
      <c r="AM30" s="57" t="str">
        <f>IF(COUNTIF(Overwash_Matrix!$C:$C,2010)=0,"",COUNTIFS(Overwash_Matrix!$C:$C,2010,Overwash_Matrix!AS:AS,1))</f>
        <v/>
      </c>
      <c r="AN30" s="57" t="str">
        <f>IF(COUNTIF(Overwash_Matrix!$C:$C,2010)=0,"",COUNTIFS(Overwash_Matrix!$C:$C,2010,Overwash_Matrix!AT:AT,1))</f>
        <v/>
      </c>
      <c r="AO30" s="57" t="str">
        <f>IF(COUNTIF(Overwash_Matrix!$C:$C,2010)=0,"",COUNTIFS(Overwash_Matrix!$C:$C,2010,Overwash_Matrix!AU:AU,1))</f>
        <v/>
      </c>
      <c r="AP30" s="57" t="str">
        <f>IF(COUNTIF(Overwash_Matrix!$C:$C,2010)=0,"",COUNTIFS(Overwash_Matrix!$C:$C,2010,Overwash_Matrix!AV:AV,1))</f>
        <v/>
      </c>
      <c r="AQ30" s="57" t="str">
        <f>IF(COUNTIF(Overwash_Matrix!$C:$C,2010)=0,"",COUNTIFS(Overwash_Matrix!$C:$C,2010,Overwash_Matrix!AW:AW,1))</f>
        <v/>
      </c>
      <c r="AR30" s="57" t="str">
        <f>IF(COUNTIF(Overwash_Matrix!$C:$C,2010)=0,"",COUNTIFS(Overwash_Matrix!$C:$C,2010,Overwash_Matrix!AX:AX,1))</f>
        <v/>
      </c>
      <c r="AS30" s="57" t="str">
        <f>IF(COUNTIF(Overwash_Matrix!$C:$C,2010)=0,"",COUNTIFS(Overwash_Matrix!$C:$C,2010,Overwash_Matrix!AY:AY,1))</f>
        <v/>
      </c>
      <c r="AT30" s="57" t="str">
        <f>IF(COUNTIF(Overwash_Matrix!$C:$C,2010)=0,"",COUNTIFS(Overwash_Matrix!$C:$C,2010,Overwash_Matrix!AZ:AZ,1))</f>
        <v/>
      </c>
      <c r="AU30" s="57" t="str">
        <f>IF(COUNTIF(Overwash_Matrix!$C:$C,2010)=0,"",COUNTIFS(Overwash_Matrix!$C:$C,2010,Overwash_Matrix!BA:BA,1))</f>
        <v/>
      </c>
      <c r="AV30" s="57" t="str">
        <f>IF(COUNTIF(Overwash_Matrix!$C:$C,2010)=0,"",COUNTIFS(Overwash_Matrix!$C:$C,2010,Overwash_Matrix!BB:BB,1))</f>
        <v/>
      </c>
      <c r="AW30" s="57" t="str">
        <f>IF(COUNTIF(Overwash_Matrix!$C:$C,2010)=0,"",COUNTIFS(Overwash_Matrix!$C:$C,2010,Overwash_Matrix!BC:BC,1))</f>
        <v/>
      </c>
      <c r="AX30" s="57" t="str">
        <f>IF(COUNTIF(Overwash_Matrix!$C:$C,2010)=0,"",COUNTIFS(Overwash_Matrix!$C:$C,2010,Overwash_Matrix!BD:BD,1))</f>
        <v/>
      </c>
      <c r="AY30" s="57" t="str">
        <f>IF(COUNTIF(Overwash_Matrix!$C:$C,2010)=0,"",COUNTIFS(Overwash_Matrix!$C:$C,2010,Overwash_Matrix!BE:BE,1))</f>
        <v/>
      </c>
      <c r="AZ30" s="57" t="str">
        <f>IF(COUNTIF(Overwash_Matrix!$C:$C,2010)=0,"",COUNTIFS(Overwash_Matrix!$C:$C,2010,Overwash_Matrix!BF:BF,1))</f>
        <v/>
      </c>
      <c r="BA30" s="57" t="str">
        <f>IF(COUNTIF(Overwash_Matrix!$C:$C,2010)=0,"",COUNTIFS(Overwash_Matrix!$C:$C,2010,Overwash_Matrix!BG:BG,1))</f>
        <v/>
      </c>
      <c r="BB30" s="57" t="str">
        <f>IF(COUNTIF(Overwash_Matrix!$C:$C,2010)=0,"",COUNTIFS(Overwash_Matrix!$C:$C,2010,Overwash_Matrix!BH:BH,1))</f>
        <v/>
      </c>
      <c r="BC30" s="57" t="str">
        <f>IF(COUNTIF(Overwash_Matrix!$C:$C,2010)=0,"",COUNTIFS(Overwash_Matrix!$C:$C,2010,Overwash_Matrix!BI:BI,1))</f>
        <v/>
      </c>
      <c r="BD30" s="57" t="str">
        <f>IF(COUNTIF(Overwash_Matrix!$C:$C,2010)=0,"",COUNTIFS(Overwash_Matrix!$C:$C,2010,Overwash_Matrix!BJ:BJ,1))</f>
        <v/>
      </c>
      <c r="BE30" s="57" t="str">
        <f>IF(COUNTIF(Overwash_Matrix!$C:$C,2010)=0,"",COUNTIFS(Overwash_Matrix!$C:$C,2010,Overwash_Matrix!BK:BK,1))</f>
        <v/>
      </c>
      <c r="BF30" s="57" t="str">
        <f>IF(COUNTIF(Overwash_Matrix!$C:$C,2010)=0,"",COUNTIFS(Overwash_Matrix!$C:$C,2010,Overwash_Matrix!BL:BL,1))</f>
        <v/>
      </c>
      <c r="BG30" s="57" t="str">
        <f>IF(COUNTIF(Overwash_Matrix!$C:$C,2010)=0,"",COUNTIFS(Overwash_Matrix!$C:$C,2010,Overwash_Matrix!BM:BM,1))</f>
        <v/>
      </c>
      <c r="BH30" s="57" t="str">
        <f>IF(COUNTIF(Overwash_Matrix!$C:$C,2010)=0,"",COUNTIFS(Overwash_Matrix!$C:$C,2010,Overwash_Matrix!BN:BN,1))</f>
        <v/>
      </c>
      <c r="BI30" s="57" t="str">
        <f>IF(COUNTIF(Overwash_Matrix!$C:$C,2010)=0,"",COUNTIFS(Overwash_Matrix!$C:$C,2010,Overwash_Matrix!BO:BO,1))</f>
        <v/>
      </c>
      <c r="BJ30" s="57" t="str">
        <f>IF(COUNTIF(Overwash_Matrix!$C:$C,2010)=0,"",COUNTIFS(Overwash_Matrix!$C:$C,2010,Overwash_Matrix!BP:BP,1))</f>
        <v/>
      </c>
      <c r="BK30" s="57" t="str">
        <f>IF(COUNTIF(Overwash_Matrix!$C:$C,2010)=0,"",COUNTIFS(Overwash_Matrix!$C:$C,2010,Overwash_Matrix!BQ:BQ,1))</f>
        <v/>
      </c>
      <c r="BL30" s="57" t="str">
        <f>IF(COUNTIF(Overwash_Matrix!$C:$C,2010)=0,"",COUNTIFS(Overwash_Matrix!$C:$C,2010,Overwash_Matrix!BR:BR,1))</f>
        <v/>
      </c>
      <c r="BM30" s="57" t="str">
        <f>IF(COUNTIF(Overwash_Matrix!$C:$C,2010)=0,"",COUNTIFS(Overwash_Matrix!$C:$C,2010,Overwash_Matrix!BS:BS,1))</f>
        <v/>
      </c>
      <c r="BN30" s="57" t="str">
        <f>IF(COUNTIF(Overwash_Matrix!$C:$C,2010)=0,"",COUNTIFS(Overwash_Matrix!$C:$C,2010,Overwash_Matrix!BT:BT,1))</f>
        <v/>
      </c>
      <c r="BO30" s="57" t="str">
        <f>IF(COUNTIF(Overwash_Matrix!$C:$C,2010)=0,"",COUNTIFS(Overwash_Matrix!$C:$C,2010,Overwash_Matrix!BU:BU,1))</f>
        <v/>
      </c>
      <c r="BP30" s="57" t="str">
        <f>IF(COUNTIF(Overwash_Matrix!$C:$C,2010)=0,"",COUNTIFS(Overwash_Matrix!$C:$C,2010,Overwash_Matrix!BV:BV,1))</f>
        <v/>
      </c>
      <c r="BQ30" s="57" t="str">
        <f>IF(COUNTIF(Overwash_Matrix!$C:$C,2010)=0,"",COUNTIFS(Overwash_Matrix!$C:$C,2010,Overwash_Matrix!BW:BW,1))</f>
        <v/>
      </c>
      <c r="BR30" s="57" t="str">
        <f>IF(COUNTIF(Overwash_Matrix!$C:$C,2010)=0,"",COUNTIFS(Overwash_Matrix!$C:$C,2010,Overwash_Matrix!BX:BX,1))</f>
        <v/>
      </c>
      <c r="BS30" s="57" t="str">
        <f>IF(COUNTIF(Overwash_Matrix!$C:$C,2010)=0,"",COUNTIFS(Overwash_Matrix!$C:$C,2010,Overwash_Matrix!BY:BY,1))</f>
        <v/>
      </c>
      <c r="BT30" s="57" t="str">
        <f>IF(COUNTIF(Overwash_Matrix!$C:$C,2010)=0,"",COUNTIFS(Overwash_Matrix!$C:$C,2010,Overwash_Matrix!BZ:BZ,1))</f>
        <v/>
      </c>
      <c r="BU30" s="57" t="str">
        <f>IF(COUNTIF(Overwash_Matrix!$C:$C,2010)=0,"",COUNTIFS(Overwash_Matrix!$C:$C,2010,Overwash_Matrix!CA:CA,1))</f>
        <v/>
      </c>
      <c r="BV30" s="57" t="str">
        <f>IF(COUNTIF(Overwash_Matrix!$C:$C,2010)=0,"",COUNTIFS(Overwash_Matrix!$C:$C,2010,Overwash_Matrix!CB:CB,1))</f>
        <v/>
      </c>
      <c r="BW30" s="57" t="str">
        <f>IF(COUNTIF(Overwash_Matrix!$C:$C,2010)=0,"",COUNTIFS(Overwash_Matrix!$C:$C,2010,Overwash_Matrix!CC:CC,1))</f>
        <v/>
      </c>
      <c r="BX30" s="57" t="str">
        <f>IF(COUNTIF(Overwash_Matrix!$C:$C,2010)=0,"",COUNTIFS(Overwash_Matrix!$C:$C,2010,Overwash_Matrix!CD:CD,1))</f>
        <v/>
      </c>
      <c r="BY30" s="57" t="str">
        <f>IF(COUNTIF(Overwash_Matrix!$C:$C,2010)=0,"",COUNTIFS(Overwash_Matrix!$C:$C,2010,Overwash_Matrix!CE:CE,1))</f>
        <v/>
      </c>
      <c r="BZ30" s="57" t="str">
        <f>IF(COUNTIF(Overwash_Matrix!$C:$C,2010)=0,"",COUNTIFS(Overwash_Matrix!$C:$C,2010,Overwash_Matrix!CF:CF,1))</f>
        <v/>
      </c>
      <c r="CA30" s="57" t="str">
        <f>IF(COUNTIF(Overwash_Matrix!$C:$C,2010)=0,"",COUNTIFS(Overwash_Matrix!$C:$C,2010,Overwash_Matrix!CG:CG,1))</f>
        <v/>
      </c>
      <c r="CB30" s="57" t="str">
        <f>IF(COUNTIF(Overwash_Matrix!$C:$C,2010)=0,"",COUNTIFS(Overwash_Matrix!$C:$C,2010,Overwash_Matrix!CH:CH,1))</f>
        <v/>
      </c>
      <c r="CC30" s="57" t="str">
        <f>IF(COUNTIF(Overwash_Matrix!$C:$C,2010)=0,"",COUNTIFS(Overwash_Matrix!$C:$C,2010,Overwash_Matrix!CI:CI,1))</f>
        <v/>
      </c>
      <c r="CD30" s="57" t="str">
        <f>IF(COUNTIF(Overwash_Matrix!$C:$C,2010)=0,"",COUNTIFS(Overwash_Matrix!$C:$C,2010,Overwash_Matrix!CJ:CJ,1))</f>
        <v/>
      </c>
      <c r="CE30" s="57" t="str">
        <f>IF(COUNTIF(Overwash_Matrix!$C:$C,2010)=0,"",COUNTIFS(Overwash_Matrix!$C:$C,2010,Overwash_Matrix!CK:CK,1))</f>
        <v/>
      </c>
      <c r="CF30" s="57" t="str">
        <f>IF(COUNTIF(Overwash_Matrix!$C:$C,2010)=0,"",COUNTIFS(Overwash_Matrix!$C:$C,2010,Overwash_Matrix!CL:CL,1))</f>
        <v/>
      </c>
      <c r="CG30" s="57" t="str">
        <f>IF(COUNTIF(Overwash_Matrix!$C:$C,2010)=0,"",COUNTIFS(Overwash_Matrix!$C:$C,2010,Overwash_Matrix!CM:CM,1))</f>
        <v/>
      </c>
      <c r="CH30" s="57" t="str">
        <f>IF(COUNTIF(Overwash_Matrix!$C:$C,2010)=0,"",COUNTIFS(Overwash_Matrix!$C:$C,2010,Overwash_Matrix!CN:CN,1))</f>
        <v/>
      </c>
      <c r="CI30" s="57" t="str">
        <f>IF(COUNTIF(Overwash_Matrix!$C:$C,2010)=0,"",COUNTIFS(Overwash_Matrix!$C:$C,2010,Overwash_Matrix!CO:CO,1))</f>
        <v/>
      </c>
      <c r="CJ30" s="57" t="str">
        <f>IF(COUNTIF(Overwash_Matrix!$C:$C,2010)=0,"",COUNTIFS(Overwash_Matrix!$C:$C,2010,Overwash_Matrix!CP:CP,1))</f>
        <v/>
      </c>
      <c r="CK30" s="57" t="str">
        <f>IF(COUNTIF(Overwash_Matrix!$C:$C,2010)=0,"",COUNTIFS(Overwash_Matrix!$C:$C,2010,Overwash_Matrix!CQ:CQ,1))</f>
        <v/>
      </c>
      <c r="CL30" s="57" t="str">
        <f>IF(COUNTIF(Overwash_Matrix!$C:$C,2010)=0,"",COUNTIFS(Overwash_Matrix!$C:$C,2010,Overwash_Matrix!CR:CR,1))</f>
        <v/>
      </c>
      <c r="CM30" s="57" t="str">
        <f>IF(COUNTIF(Overwash_Matrix!$C:$C,2010)=0,"",COUNTIFS(Overwash_Matrix!$C:$C,2010,Overwash_Matrix!CS:CS,1))</f>
        <v/>
      </c>
      <c r="CN30" s="57" t="str">
        <f>IF(COUNTIF(Overwash_Matrix!$C:$C,2010)=0,"",COUNTIFS(Overwash_Matrix!$C:$C,2010,Overwash_Matrix!CT:CT,1))</f>
        <v/>
      </c>
    </row>
    <row r="31" ht="13.5" customHeight="1">
      <c r="A31" s="88">
        <v>2011.0</v>
      </c>
      <c r="B31" s="89">
        <f>COUNTIF(Overwash_Matrix!$C:$C,2011)</f>
        <v>0</v>
      </c>
      <c r="C31" s="53" t="str">
        <f>IF(COUNTIF(Overwash_Matrix!$C:$C,2011)=0,"",COUNTIFS(Overwash_Matrix!$C:$C,2011,Overwash_Matrix!I:I,1))</f>
        <v/>
      </c>
      <c r="D31" s="53" t="str">
        <f>IF(COUNTIF(Overwash_Matrix!$C:$C,2011)=0,"",COUNTIFS(Overwash_Matrix!$C:$C,2011,Overwash_Matrix!J:J,1))</f>
        <v/>
      </c>
      <c r="E31" s="53" t="str">
        <f>IF(COUNTIF(Overwash_Matrix!$C:$C,2011)=0,"",COUNTIFS(Overwash_Matrix!$C:$C,2011,Overwash_Matrix!K:K,1))</f>
        <v/>
      </c>
      <c r="F31" s="53" t="str">
        <f>IF(COUNTIF(Overwash_Matrix!$C:$C,2011)=0,"",COUNTIFS(Overwash_Matrix!$C:$C,2011,Overwash_Matrix!L:L,1))</f>
        <v/>
      </c>
      <c r="G31" s="53" t="str">
        <f>IF(COUNTIF(Overwash_Matrix!$C:$C,2011)=0,"",COUNTIFS(Overwash_Matrix!$C:$C,2011,Overwash_Matrix!M:M,1))</f>
        <v/>
      </c>
      <c r="H31" s="53" t="str">
        <f>IF(COUNTIF(Overwash_Matrix!$C:$C,2011)=0,"",COUNTIFS(Overwash_Matrix!$C:$C,2011,Overwash_Matrix!N:N,1))</f>
        <v/>
      </c>
      <c r="I31" s="53" t="str">
        <f>IF(COUNTIF(Overwash_Matrix!$C:$C,2011)=0,"",COUNTIFS(Overwash_Matrix!$C:$C,2011,Overwash_Matrix!O:O,1))</f>
        <v/>
      </c>
      <c r="J31" s="53" t="str">
        <f>IF(COUNTIF(Overwash_Matrix!$C:$C,2011)=0,"",COUNTIFS(Overwash_Matrix!$C:$C,2011,Overwash_Matrix!P:P,1))</f>
        <v/>
      </c>
      <c r="K31" s="53" t="str">
        <f>IF(COUNTIF(Overwash_Matrix!$C:$C,2011)=0,"",COUNTIFS(Overwash_Matrix!$C:$C,2011,Overwash_Matrix!Q:Q,1))</f>
        <v/>
      </c>
      <c r="L31" s="53" t="str">
        <f>IF(COUNTIF(Overwash_Matrix!$C:$C,2011)=0,"",COUNTIFS(Overwash_Matrix!$C:$C,2011,Overwash_Matrix!R:R,1))</f>
        <v/>
      </c>
      <c r="M31" s="53" t="str">
        <f>IF(COUNTIF(Overwash_Matrix!$C:$C,2011)=0,"",COUNTIFS(Overwash_Matrix!$C:$C,2011,Overwash_Matrix!S:S,1))</f>
        <v/>
      </c>
      <c r="N31" s="53" t="str">
        <f>IF(COUNTIF(Overwash_Matrix!$C:$C,2011)=0,"",COUNTIFS(Overwash_Matrix!$C:$C,2011,Overwash_Matrix!T:T,1))</f>
        <v/>
      </c>
      <c r="O31" s="53" t="str">
        <f>IF(COUNTIF(Overwash_Matrix!$C:$C,2011)=0,"",COUNTIFS(Overwash_Matrix!$C:$C,2011,Overwash_Matrix!U:U,1))</f>
        <v/>
      </c>
      <c r="P31" s="53" t="str">
        <f>IF(COUNTIF(Overwash_Matrix!$C:$C,2011)=0,"",COUNTIFS(Overwash_Matrix!$C:$C,2011,Overwash_Matrix!V:V,1))</f>
        <v/>
      </c>
      <c r="Q31" s="53" t="str">
        <f>IF(COUNTIF(Overwash_Matrix!$C:$C,2011)=0,"",COUNTIFS(Overwash_Matrix!$C:$C,2011,Overwash_Matrix!W:W,1))</f>
        <v/>
      </c>
      <c r="R31" s="53" t="str">
        <f>IF(COUNTIF(Overwash_Matrix!$C:$C,2011)=0,"",COUNTIFS(Overwash_Matrix!$C:$C,2011,Overwash_Matrix!X:X,1))</f>
        <v/>
      </c>
      <c r="S31" s="53" t="str">
        <f>IF(COUNTIF(Overwash_Matrix!$C:$C,2011)=0,"",COUNTIFS(Overwash_Matrix!$C:$C,2011,Overwash_Matrix!Y:Y,1))</f>
        <v/>
      </c>
      <c r="T31" s="53" t="str">
        <f>IF(COUNTIF(Overwash_Matrix!$C:$C,2011)=0,"",COUNTIFS(Overwash_Matrix!$C:$C,2011,Overwash_Matrix!Z:Z,1))</f>
        <v/>
      </c>
      <c r="U31" s="53" t="str">
        <f>IF(COUNTIF(Overwash_Matrix!$C:$C,2011)=0,"",COUNTIFS(Overwash_Matrix!$C:$C,2011,Overwash_Matrix!AA:AA,1))</f>
        <v/>
      </c>
      <c r="V31" s="53" t="str">
        <f>IF(COUNTIF(Overwash_Matrix!$C:$C,2011)=0,"",COUNTIFS(Overwash_Matrix!$C:$C,2011,Overwash_Matrix!AB:AB,1))</f>
        <v/>
      </c>
      <c r="W31" s="53" t="str">
        <f>IF(COUNTIF(Overwash_Matrix!$C:$C,2011)=0,"",COUNTIFS(Overwash_Matrix!$C:$C,2011,Overwash_Matrix!AC:AC,1))</f>
        <v/>
      </c>
      <c r="X31" s="53" t="str">
        <f>IF(COUNTIF(Overwash_Matrix!$C:$C,2011)=0,"",COUNTIFS(Overwash_Matrix!$C:$C,2011,Overwash_Matrix!AD:AD,1))</f>
        <v/>
      </c>
      <c r="Y31" s="53" t="str">
        <f>IF(COUNTIF(Overwash_Matrix!$C:$C,2011)=0,"",COUNTIFS(Overwash_Matrix!$C:$C,2011,Overwash_Matrix!AE:AE,1))</f>
        <v/>
      </c>
      <c r="Z31" s="53" t="str">
        <f>IF(COUNTIF(Overwash_Matrix!$C:$C,2011)=0,"",COUNTIFS(Overwash_Matrix!$C:$C,2011,Overwash_Matrix!AF:AF,1))</f>
        <v/>
      </c>
      <c r="AA31" s="53" t="str">
        <f>IF(COUNTIF(Overwash_Matrix!$C:$C,2011)=0,"",COUNTIFS(Overwash_Matrix!$C:$C,2011,Overwash_Matrix!AG:AG,1))</f>
        <v/>
      </c>
      <c r="AB31" s="53" t="str">
        <f>IF(COUNTIF(Overwash_Matrix!$C:$C,2011)=0,"",COUNTIFS(Overwash_Matrix!$C:$C,2011,Overwash_Matrix!AH:AH,1))</f>
        <v/>
      </c>
      <c r="AC31" s="53" t="str">
        <f>IF(COUNTIF(Overwash_Matrix!$C:$C,2011)=0,"",COUNTIFS(Overwash_Matrix!$C:$C,2011,Overwash_Matrix!AI:AI,1))</f>
        <v/>
      </c>
      <c r="AD31" s="53" t="str">
        <f>IF(COUNTIF(Overwash_Matrix!$C:$C,2011)=0,"",COUNTIFS(Overwash_Matrix!$C:$C,2011,Overwash_Matrix!AJ:AJ,1))</f>
        <v/>
      </c>
      <c r="AE31" s="53" t="str">
        <f>IF(COUNTIF(Overwash_Matrix!$C:$C,2011)=0,"",COUNTIFS(Overwash_Matrix!$C:$C,2011,Overwash_Matrix!AK:AK,1))</f>
        <v/>
      </c>
      <c r="AF31" s="53" t="str">
        <f>IF(COUNTIF(Overwash_Matrix!$C:$C,2011)=0,"",COUNTIFS(Overwash_Matrix!$C:$C,2011,Overwash_Matrix!AL:AL,1))</f>
        <v/>
      </c>
      <c r="AG31" s="53" t="str">
        <f>IF(COUNTIF(Overwash_Matrix!$C:$C,2011)=0,"",COUNTIFS(Overwash_Matrix!$C:$C,2011,Overwash_Matrix!AM:AM,1))</f>
        <v/>
      </c>
      <c r="AH31" s="53" t="str">
        <f>IF(COUNTIF(Overwash_Matrix!$C:$C,2011)=0,"",COUNTIFS(Overwash_Matrix!$C:$C,2011,Overwash_Matrix!AN:AN,1))</f>
        <v/>
      </c>
      <c r="AI31" s="53" t="str">
        <f>IF(COUNTIF(Overwash_Matrix!$C:$C,2011)=0,"",COUNTIFS(Overwash_Matrix!$C:$C,2011,Overwash_Matrix!AO:AO,1))</f>
        <v/>
      </c>
      <c r="AJ31" s="53" t="str">
        <f>IF(COUNTIF(Overwash_Matrix!$C:$C,2011)=0,"",COUNTIFS(Overwash_Matrix!$C:$C,2011,Overwash_Matrix!AP:AP,1))</f>
        <v/>
      </c>
      <c r="AK31" s="53" t="str">
        <f>IF(COUNTIF(Overwash_Matrix!$C:$C,2011)=0,"",COUNTIFS(Overwash_Matrix!$C:$C,2011,Overwash_Matrix!AQ:AQ,1))</f>
        <v/>
      </c>
      <c r="AL31" s="53" t="str">
        <f>IF(COUNTIF(Overwash_Matrix!$C:$C,2011)=0,"",COUNTIFS(Overwash_Matrix!$C:$C,2011,Overwash_Matrix!AR:AR,1))</f>
        <v/>
      </c>
      <c r="AM31" s="53" t="str">
        <f>IF(COUNTIF(Overwash_Matrix!$C:$C,2011)=0,"",COUNTIFS(Overwash_Matrix!$C:$C,2011,Overwash_Matrix!AS:AS,1))</f>
        <v/>
      </c>
      <c r="AN31" s="53" t="str">
        <f>IF(COUNTIF(Overwash_Matrix!$C:$C,2011)=0,"",COUNTIFS(Overwash_Matrix!$C:$C,2011,Overwash_Matrix!AT:AT,1))</f>
        <v/>
      </c>
      <c r="AO31" s="53" t="str">
        <f>IF(COUNTIF(Overwash_Matrix!$C:$C,2011)=0,"",COUNTIFS(Overwash_Matrix!$C:$C,2011,Overwash_Matrix!AU:AU,1))</f>
        <v/>
      </c>
      <c r="AP31" s="53" t="str">
        <f>IF(COUNTIF(Overwash_Matrix!$C:$C,2011)=0,"",COUNTIFS(Overwash_Matrix!$C:$C,2011,Overwash_Matrix!AV:AV,1))</f>
        <v/>
      </c>
      <c r="AQ31" s="53" t="str">
        <f>IF(COUNTIF(Overwash_Matrix!$C:$C,2011)=0,"",COUNTIFS(Overwash_Matrix!$C:$C,2011,Overwash_Matrix!AW:AW,1))</f>
        <v/>
      </c>
      <c r="AR31" s="53" t="str">
        <f>IF(COUNTIF(Overwash_Matrix!$C:$C,2011)=0,"",COUNTIFS(Overwash_Matrix!$C:$C,2011,Overwash_Matrix!AX:AX,1))</f>
        <v/>
      </c>
      <c r="AS31" s="53" t="str">
        <f>IF(COUNTIF(Overwash_Matrix!$C:$C,2011)=0,"",COUNTIFS(Overwash_Matrix!$C:$C,2011,Overwash_Matrix!AY:AY,1))</f>
        <v/>
      </c>
      <c r="AT31" s="53" t="str">
        <f>IF(COUNTIF(Overwash_Matrix!$C:$C,2011)=0,"",COUNTIFS(Overwash_Matrix!$C:$C,2011,Overwash_Matrix!AZ:AZ,1))</f>
        <v/>
      </c>
      <c r="AU31" s="53" t="str">
        <f>IF(COUNTIF(Overwash_Matrix!$C:$C,2011)=0,"",COUNTIFS(Overwash_Matrix!$C:$C,2011,Overwash_Matrix!BA:BA,1))</f>
        <v/>
      </c>
      <c r="AV31" s="53" t="str">
        <f>IF(COUNTIF(Overwash_Matrix!$C:$C,2011)=0,"",COUNTIFS(Overwash_Matrix!$C:$C,2011,Overwash_Matrix!BB:BB,1))</f>
        <v/>
      </c>
      <c r="AW31" s="53" t="str">
        <f>IF(COUNTIF(Overwash_Matrix!$C:$C,2011)=0,"",COUNTIFS(Overwash_Matrix!$C:$C,2011,Overwash_Matrix!BC:BC,1))</f>
        <v/>
      </c>
      <c r="AX31" s="53" t="str">
        <f>IF(COUNTIF(Overwash_Matrix!$C:$C,2011)=0,"",COUNTIFS(Overwash_Matrix!$C:$C,2011,Overwash_Matrix!BD:BD,1))</f>
        <v/>
      </c>
      <c r="AY31" s="53" t="str">
        <f>IF(COUNTIF(Overwash_Matrix!$C:$C,2011)=0,"",COUNTIFS(Overwash_Matrix!$C:$C,2011,Overwash_Matrix!BE:BE,1))</f>
        <v/>
      </c>
      <c r="AZ31" s="53" t="str">
        <f>IF(COUNTIF(Overwash_Matrix!$C:$C,2011)=0,"",COUNTIFS(Overwash_Matrix!$C:$C,2011,Overwash_Matrix!BF:BF,1))</f>
        <v/>
      </c>
      <c r="BA31" s="53" t="str">
        <f>IF(COUNTIF(Overwash_Matrix!$C:$C,2011)=0,"",COUNTIFS(Overwash_Matrix!$C:$C,2011,Overwash_Matrix!BG:BG,1))</f>
        <v/>
      </c>
      <c r="BB31" s="53" t="str">
        <f>IF(COUNTIF(Overwash_Matrix!$C:$C,2011)=0,"",COUNTIFS(Overwash_Matrix!$C:$C,2011,Overwash_Matrix!BH:BH,1))</f>
        <v/>
      </c>
      <c r="BC31" s="53" t="str">
        <f>IF(COUNTIF(Overwash_Matrix!$C:$C,2011)=0,"",COUNTIFS(Overwash_Matrix!$C:$C,2011,Overwash_Matrix!BI:BI,1))</f>
        <v/>
      </c>
      <c r="BD31" s="53" t="str">
        <f>IF(COUNTIF(Overwash_Matrix!$C:$C,2011)=0,"",COUNTIFS(Overwash_Matrix!$C:$C,2011,Overwash_Matrix!BJ:BJ,1))</f>
        <v/>
      </c>
      <c r="BE31" s="53" t="str">
        <f>IF(COUNTIF(Overwash_Matrix!$C:$C,2011)=0,"",COUNTIFS(Overwash_Matrix!$C:$C,2011,Overwash_Matrix!BK:BK,1))</f>
        <v/>
      </c>
      <c r="BF31" s="53" t="str">
        <f>IF(COUNTIF(Overwash_Matrix!$C:$C,2011)=0,"",COUNTIFS(Overwash_Matrix!$C:$C,2011,Overwash_Matrix!BL:BL,1))</f>
        <v/>
      </c>
      <c r="BG31" s="53" t="str">
        <f>IF(COUNTIF(Overwash_Matrix!$C:$C,2011)=0,"",COUNTIFS(Overwash_Matrix!$C:$C,2011,Overwash_Matrix!BM:BM,1))</f>
        <v/>
      </c>
      <c r="BH31" s="53" t="str">
        <f>IF(COUNTIF(Overwash_Matrix!$C:$C,2011)=0,"",COUNTIFS(Overwash_Matrix!$C:$C,2011,Overwash_Matrix!BN:BN,1))</f>
        <v/>
      </c>
      <c r="BI31" s="53" t="str">
        <f>IF(COUNTIF(Overwash_Matrix!$C:$C,2011)=0,"",COUNTIFS(Overwash_Matrix!$C:$C,2011,Overwash_Matrix!BO:BO,1))</f>
        <v/>
      </c>
      <c r="BJ31" s="53" t="str">
        <f>IF(COUNTIF(Overwash_Matrix!$C:$C,2011)=0,"",COUNTIFS(Overwash_Matrix!$C:$C,2011,Overwash_Matrix!BP:BP,1))</f>
        <v/>
      </c>
      <c r="BK31" s="53" t="str">
        <f>IF(COUNTIF(Overwash_Matrix!$C:$C,2011)=0,"",COUNTIFS(Overwash_Matrix!$C:$C,2011,Overwash_Matrix!BQ:BQ,1))</f>
        <v/>
      </c>
      <c r="BL31" s="53" t="str">
        <f>IF(COUNTIF(Overwash_Matrix!$C:$C,2011)=0,"",COUNTIFS(Overwash_Matrix!$C:$C,2011,Overwash_Matrix!BR:BR,1))</f>
        <v/>
      </c>
      <c r="BM31" s="53" t="str">
        <f>IF(COUNTIF(Overwash_Matrix!$C:$C,2011)=0,"",COUNTIFS(Overwash_Matrix!$C:$C,2011,Overwash_Matrix!BS:BS,1))</f>
        <v/>
      </c>
      <c r="BN31" s="53" t="str">
        <f>IF(COUNTIF(Overwash_Matrix!$C:$C,2011)=0,"",COUNTIFS(Overwash_Matrix!$C:$C,2011,Overwash_Matrix!BT:BT,1))</f>
        <v/>
      </c>
      <c r="BO31" s="53" t="str">
        <f>IF(COUNTIF(Overwash_Matrix!$C:$C,2011)=0,"",COUNTIFS(Overwash_Matrix!$C:$C,2011,Overwash_Matrix!BU:BU,1))</f>
        <v/>
      </c>
      <c r="BP31" s="53" t="str">
        <f>IF(COUNTIF(Overwash_Matrix!$C:$C,2011)=0,"",COUNTIFS(Overwash_Matrix!$C:$C,2011,Overwash_Matrix!BV:BV,1))</f>
        <v/>
      </c>
      <c r="BQ31" s="53" t="str">
        <f>IF(COUNTIF(Overwash_Matrix!$C:$C,2011)=0,"",COUNTIFS(Overwash_Matrix!$C:$C,2011,Overwash_Matrix!BW:BW,1))</f>
        <v/>
      </c>
      <c r="BR31" s="53" t="str">
        <f>IF(COUNTIF(Overwash_Matrix!$C:$C,2011)=0,"",COUNTIFS(Overwash_Matrix!$C:$C,2011,Overwash_Matrix!BX:BX,1))</f>
        <v/>
      </c>
      <c r="BS31" s="53" t="str">
        <f>IF(COUNTIF(Overwash_Matrix!$C:$C,2011)=0,"",COUNTIFS(Overwash_Matrix!$C:$C,2011,Overwash_Matrix!BY:BY,1))</f>
        <v/>
      </c>
      <c r="BT31" s="53" t="str">
        <f>IF(COUNTIF(Overwash_Matrix!$C:$C,2011)=0,"",COUNTIFS(Overwash_Matrix!$C:$C,2011,Overwash_Matrix!BZ:BZ,1))</f>
        <v/>
      </c>
      <c r="BU31" s="53" t="str">
        <f>IF(COUNTIF(Overwash_Matrix!$C:$C,2011)=0,"",COUNTIFS(Overwash_Matrix!$C:$C,2011,Overwash_Matrix!CA:CA,1))</f>
        <v/>
      </c>
      <c r="BV31" s="53" t="str">
        <f>IF(COUNTIF(Overwash_Matrix!$C:$C,2011)=0,"",COUNTIFS(Overwash_Matrix!$C:$C,2011,Overwash_Matrix!CB:CB,1))</f>
        <v/>
      </c>
      <c r="BW31" s="53" t="str">
        <f>IF(COUNTIF(Overwash_Matrix!$C:$C,2011)=0,"",COUNTIFS(Overwash_Matrix!$C:$C,2011,Overwash_Matrix!CC:CC,1))</f>
        <v/>
      </c>
      <c r="BX31" s="53" t="str">
        <f>IF(COUNTIF(Overwash_Matrix!$C:$C,2011)=0,"",COUNTIFS(Overwash_Matrix!$C:$C,2011,Overwash_Matrix!CD:CD,1))</f>
        <v/>
      </c>
      <c r="BY31" s="53" t="str">
        <f>IF(COUNTIF(Overwash_Matrix!$C:$C,2011)=0,"",COUNTIFS(Overwash_Matrix!$C:$C,2011,Overwash_Matrix!CE:CE,1))</f>
        <v/>
      </c>
      <c r="BZ31" s="53" t="str">
        <f>IF(COUNTIF(Overwash_Matrix!$C:$C,2011)=0,"",COUNTIFS(Overwash_Matrix!$C:$C,2011,Overwash_Matrix!CF:CF,1))</f>
        <v/>
      </c>
      <c r="CA31" s="53" t="str">
        <f>IF(COUNTIF(Overwash_Matrix!$C:$C,2011)=0,"",COUNTIFS(Overwash_Matrix!$C:$C,2011,Overwash_Matrix!CG:CG,1))</f>
        <v/>
      </c>
      <c r="CB31" s="53" t="str">
        <f>IF(COUNTIF(Overwash_Matrix!$C:$C,2011)=0,"",COUNTIFS(Overwash_Matrix!$C:$C,2011,Overwash_Matrix!CH:CH,1))</f>
        <v/>
      </c>
      <c r="CC31" s="53" t="str">
        <f>IF(COUNTIF(Overwash_Matrix!$C:$C,2011)=0,"",COUNTIFS(Overwash_Matrix!$C:$C,2011,Overwash_Matrix!CI:CI,1))</f>
        <v/>
      </c>
      <c r="CD31" s="53" t="str">
        <f>IF(COUNTIF(Overwash_Matrix!$C:$C,2011)=0,"",COUNTIFS(Overwash_Matrix!$C:$C,2011,Overwash_Matrix!CJ:CJ,1))</f>
        <v/>
      </c>
      <c r="CE31" s="53" t="str">
        <f>IF(COUNTIF(Overwash_Matrix!$C:$C,2011)=0,"",COUNTIFS(Overwash_Matrix!$C:$C,2011,Overwash_Matrix!CK:CK,1))</f>
        <v/>
      </c>
      <c r="CF31" s="53" t="str">
        <f>IF(COUNTIF(Overwash_Matrix!$C:$C,2011)=0,"",COUNTIFS(Overwash_Matrix!$C:$C,2011,Overwash_Matrix!CL:CL,1))</f>
        <v/>
      </c>
      <c r="CG31" s="53" t="str">
        <f>IF(COUNTIF(Overwash_Matrix!$C:$C,2011)=0,"",COUNTIFS(Overwash_Matrix!$C:$C,2011,Overwash_Matrix!CM:CM,1))</f>
        <v/>
      </c>
      <c r="CH31" s="53" t="str">
        <f>IF(COUNTIF(Overwash_Matrix!$C:$C,2011)=0,"",COUNTIFS(Overwash_Matrix!$C:$C,2011,Overwash_Matrix!CN:CN,1))</f>
        <v/>
      </c>
      <c r="CI31" s="53" t="str">
        <f>IF(COUNTIF(Overwash_Matrix!$C:$C,2011)=0,"",COUNTIFS(Overwash_Matrix!$C:$C,2011,Overwash_Matrix!CO:CO,1))</f>
        <v/>
      </c>
      <c r="CJ31" s="53" t="str">
        <f>IF(COUNTIF(Overwash_Matrix!$C:$C,2011)=0,"",COUNTIFS(Overwash_Matrix!$C:$C,2011,Overwash_Matrix!CP:CP,1))</f>
        <v/>
      </c>
      <c r="CK31" s="53" t="str">
        <f>IF(COUNTIF(Overwash_Matrix!$C:$C,2011)=0,"",COUNTIFS(Overwash_Matrix!$C:$C,2011,Overwash_Matrix!CQ:CQ,1))</f>
        <v/>
      </c>
      <c r="CL31" s="53" t="str">
        <f>IF(COUNTIF(Overwash_Matrix!$C:$C,2011)=0,"",COUNTIFS(Overwash_Matrix!$C:$C,2011,Overwash_Matrix!CR:CR,1))</f>
        <v/>
      </c>
      <c r="CM31" s="53" t="str">
        <f>IF(COUNTIF(Overwash_Matrix!$C:$C,2011)=0,"",COUNTIFS(Overwash_Matrix!$C:$C,2011,Overwash_Matrix!CS:CS,1))</f>
        <v/>
      </c>
      <c r="CN31" s="53" t="str">
        <f>IF(COUNTIF(Overwash_Matrix!$C:$C,2011)=0,"",COUNTIFS(Overwash_Matrix!$C:$C,2011,Overwash_Matrix!CT:CT,1))</f>
        <v/>
      </c>
    </row>
    <row r="32" ht="13.5" customHeight="1">
      <c r="A32" s="86">
        <v>2012.0</v>
      </c>
      <c r="B32" s="87">
        <f>COUNTIF(Overwash_Matrix!$C:$C,2012)</f>
        <v>0</v>
      </c>
      <c r="C32" s="57" t="str">
        <f>IF(COUNTIF(Overwash_Matrix!$C:$C,2012)=0,"",COUNTIFS(Overwash_Matrix!$C:$C,2012,Overwash_Matrix!I:I,1))</f>
        <v/>
      </c>
      <c r="D32" s="57" t="str">
        <f>IF(COUNTIF(Overwash_Matrix!$C:$C,2012)=0,"",COUNTIFS(Overwash_Matrix!$C:$C,2012,Overwash_Matrix!J:J,1))</f>
        <v/>
      </c>
      <c r="E32" s="57" t="str">
        <f>IF(COUNTIF(Overwash_Matrix!$C:$C,2012)=0,"",COUNTIFS(Overwash_Matrix!$C:$C,2012,Overwash_Matrix!K:K,1))</f>
        <v/>
      </c>
      <c r="F32" s="57" t="str">
        <f>IF(COUNTIF(Overwash_Matrix!$C:$C,2012)=0,"",COUNTIFS(Overwash_Matrix!$C:$C,2012,Overwash_Matrix!L:L,1))</f>
        <v/>
      </c>
      <c r="G32" s="57" t="str">
        <f>IF(COUNTIF(Overwash_Matrix!$C:$C,2012)=0,"",COUNTIFS(Overwash_Matrix!$C:$C,2012,Overwash_Matrix!M:M,1))</f>
        <v/>
      </c>
      <c r="H32" s="57" t="str">
        <f>IF(COUNTIF(Overwash_Matrix!$C:$C,2012)=0,"",COUNTIFS(Overwash_Matrix!$C:$C,2012,Overwash_Matrix!N:N,1))</f>
        <v/>
      </c>
      <c r="I32" s="57" t="str">
        <f>IF(COUNTIF(Overwash_Matrix!$C:$C,2012)=0,"",COUNTIFS(Overwash_Matrix!$C:$C,2012,Overwash_Matrix!O:O,1))</f>
        <v/>
      </c>
      <c r="J32" s="57" t="str">
        <f>IF(COUNTIF(Overwash_Matrix!$C:$C,2012)=0,"",COUNTIFS(Overwash_Matrix!$C:$C,2012,Overwash_Matrix!P:P,1))</f>
        <v/>
      </c>
      <c r="K32" s="57" t="str">
        <f>IF(COUNTIF(Overwash_Matrix!$C:$C,2012)=0,"",COUNTIFS(Overwash_Matrix!$C:$C,2012,Overwash_Matrix!Q:Q,1))</f>
        <v/>
      </c>
      <c r="L32" s="57" t="str">
        <f>IF(COUNTIF(Overwash_Matrix!$C:$C,2012)=0,"",COUNTIFS(Overwash_Matrix!$C:$C,2012,Overwash_Matrix!R:R,1))</f>
        <v/>
      </c>
      <c r="M32" s="57" t="str">
        <f>IF(COUNTIF(Overwash_Matrix!$C:$C,2012)=0,"",COUNTIFS(Overwash_Matrix!$C:$C,2012,Overwash_Matrix!S:S,1))</f>
        <v/>
      </c>
      <c r="N32" s="57" t="str">
        <f>IF(COUNTIF(Overwash_Matrix!$C:$C,2012)=0,"",COUNTIFS(Overwash_Matrix!$C:$C,2012,Overwash_Matrix!T:T,1))</f>
        <v/>
      </c>
      <c r="O32" s="57" t="str">
        <f>IF(COUNTIF(Overwash_Matrix!$C:$C,2012)=0,"",COUNTIFS(Overwash_Matrix!$C:$C,2012,Overwash_Matrix!U:U,1))</f>
        <v/>
      </c>
      <c r="P32" s="57" t="str">
        <f>IF(COUNTIF(Overwash_Matrix!$C:$C,2012)=0,"",COUNTIFS(Overwash_Matrix!$C:$C,2012,Overwash_Matrix!V:V,1))</f>
        <v/>
      </c>
      <c r="Q32" s="57" t="str">
        <f>IF(COUNTIF(Overwash_Matrix!$C:$C,2012)=0,"",COUNTIFS(Overwash_Matrix!$C:$C,2012,Overwash_Matrix!W:W,1))</f>
        <v/>
      </c>
      <c r="R32" s="57" t="str">
        <f>IF(COUNTIF(Overwash_Matrix!$C:$C,2012)=0,"",COUNTIFS(Overwash_Matrix!$C:$C,2012,Overwash_Matrix!X:X,1))</f>
        <v/>
      </c>
      <c r="S32" s="57" t="str">
        <f>IF(COUNTIF(Overwash_Matrix!$C:$C,2012)=0,"",COUNTIFS(Overwash_Matrix!$C:$C,2012,Overwash_Matrix!Y:Y,1))</f>
        <v/>
      </c>
      <c r="T32" s="57" t="str">
        <f>IF(COUNTIF(Overwash_Matrix!$C:$C,2012)=0,"",COUNTIFS(Overwash_Matrix!$C:$C,2012,Overwash_Matrix!Z:Z,1))</f>
        <v/>
      </c>
      <c r="U32" s="57" t="str">
        <f>IF(COUNTIF(Overwash_Matrix!$C:$C,2012)=0,"",COUNTIFS(Overwash_Matrix!$C:$C,2012,Overwash_Matrix!AA:AA,1))</f>
        <v/>
      </c>
      <c r="V32" s="57" t="str">
        <f>IF(COUNTIF(Overwash_Matrix!$C:$C,2012)=0,"",COUNTIFS(Overwash_Matrix!$C:$C,2012,Overwash_Matrix!AB:AB,1))</f>
        <v/>
      </c>
      <c r="W32" s="57" t="str">
        <f>IF(COUNTIF(Overwash_Matrix!$C:$C,2012)=0,"",COUNTIFS(Overwash_Matrix!$C:$C,2012,Overwash_Matrix!AC:AC,1))</f>
        <v/>
      </c>
      <c r="X32" s="57" t="str">
        <f>IF(COUNTIF(Overwash_Matrix!$C:$C,2012)=0,"",COUNTIFS(Overwash_Matrix!$C:$C,2012,Overwash_Matrix!AD:AD,1))</f>
        <v/>
      </c>
      <c r="Y32" s="57" t="str">
        <f>IF(COUNTIF(Overwash_Matrix!$C:$C,2012)=0,"",COUNTIFS(Overwash_Matrix!$C:$C,2012,Overwash_Matrix!AE:AE,1))</f>
        <v/>
      </c>
      <c r="Z32" s="57" t="str">
        <f>IF(COUNTIF(Overwash_Matrix!$C:$C,2012)=0,"",COUNTIFS(Overwash_Matrix!$C:$C,2012,Overwash_Matrix!AF:AF,1))</f>
        <v/>
      </c>
      <c r="AA32" s="57" t="str">
        <f>IF(COUNTIF(Overwash_Matrix!$C:$C,2012)=0,"",COUNTIFS(Overwash_Matrix!$C:$C,2012,Overwash_Matrix!AG:AG,1))</f>
        <v/>
      </c>
      <c r="AB32" s="57" t="str">
        <f>IF(COUNTIF(Overwash_Matrix!$C:$C,2012)=0,"",COUNTIFS(Overwash_Matrix!$C:$C,2012,Overwash_Matrix!AH:AH,1))</f>
        <v/>
      </c>
      <c r="AC32" s="57" t="str">
        <f>IF(COUNTIF(Overwash_Matrix!$C:$C,2012)=0,"",COUNTIFS(Overwash_Matrix!$C:$C,2012,Overwash_Matrix!AI:AI,1))</f>
        <v/>
      </c>
      <c r="AD32" s="57" t="str">
        <f>IF(COUNTIF(Overwash_Matrix!$C:$C,2012)=0,"",COUNTIFS(Overwash_Matrix!$C:$C,2012,Overwash_Matrix!AJ:AJ,1))</f>
        <v/>
      </c>
      <c r="AE32" s="57" t="str">
        <f>IF(COUNTIF(Overwash_Matrix!$C:$C,2012)=0,"",COUNTIFS(Overwash_Matrix!$C:$C,2012,Overwash_Matrix!AK:AK,1))</f>
        <v/>
      </c>
      <c r="AF32" s="57" t="str">
        <f>IF(COUNTIF(Overwash_Matrix!$C:$C,2012)=0,"",COUNTIFS(Overwash_Matrix!$C:$C,2012,Overwash_Matrix!AL:AL,1))</f>
        <v/>
      </c>
      <c r="AG32" s="57" t="str">
        <f>IF(COUNTIF(Overwash_Matrix!$C:$C,2012)=0,"",COUNTIFS(Overwash_Matrix!$C:$C,2012,Overwash_Matrix!AM:AM,1))</f>
        <v/>
      </c>
      <c r="AH32" s="57" t="str">
        <f>IF(COUNTIF(Overwash_Matrix!$C:$C,2012)=0,"",COUNTIFS(Overwash_Matrix!$C:$C,2012,Overwash_Matrix!AN:AN,1))</f>
        <v/>
      </c>
      <c r="AI32" s="57" t="str">
        <f>IF(COUNTIF(Overwash_Matrix!$C:$C,2012)=0,"",COUNTIFS(Overwash_Matrix!$C:$C,2012,Overwash_Matrix!AO:AO,1))</f>
        <v/>
      </c>
      <c r="AJ32" s="57" t="str">
        <f>IF(COUNTIF(Overwash_Matrix!$C:$C,2012)=0,"",COUNTIFS(Overwash_Matrix!$C:$C,2012,Overwash_Matrix!AP:AP,1))</f>
        <v/>
      </c>
      <c r="AK32" s="57" t="str">
        <f>IF(COUNTIF(Overwash_Matrix!$C:$C,2012)=0,"",COUNTIFS(Overwash_Matrix!$C:$C,2012,Overwash_Matrix!AQ:AQ,1))</f>
        <v/>
      </c>
      <c r="AL32" s="57" t="str">
        <f>IF(COUNTIF(Overwash_Matrix!$C:$C,2012)=0,"",COUNTIFS(Overwash_Matrix!$C:$C,2012,Overwash_Matrix!AR:AR,1))</f>
        <v/>
      </c>
      <c r="AM32" s="57" t="str">
        <f>IF(COUNTIF(Overwash_Matrix!$C:$C,2012)=0,"",COUNTIFS(Overwash_Matrix!$C:$C,2012,Overwash_Matrix!AS:AS,1))</f>
        <v/>
      </c>
      <c r="AN32" s="57" t="str">
        <f>IF(COUNTIF(Overwash_Matrix!$C:$C,2012)=0,"",COUNTIFS(Overwash_Matrix!$C:$C,2012,Overwash_Matrix!AT:AT,1))</f>
        <v/>
      </c>
      <c r="AO32" s="57" t="str">
        <f>IF(COUNTIF(Overwash_Matrix!$C:$C,2012)=0,"",COUNTIFS(Overwash_Matrix!$C:$C,2012,Overwash_Matrix!AU:AU,1))</f>
        <v/>
      </c>
      <c r="AP32" s="57" t="str">
        <f>IF(COUNTIF(Overwash_Matrix!$C:$C,2012)=0,"",COUNTIFS(Overwash_Matrix!$C:$C,2012,Overwash_Matrix!AV:AV,1))</f>
        <v/>
      </c>
      <c r="AQ32" s="57" t="str">
        <f>IF(COUNTIF(Overwash_Matrix!$C:$C,2012)=0,"",COUNTIFS(Overwash_Matrix!$C:$C,2012,Overwash_Matrix!AW:AW,1))</f>
        <v/>
      </c>
      <c r="AR32" s="57" t="str">
        <f>IF(COUNTIF(Overwash_Matrix!$C:$C,2012)=0,"",COUNTIFS(Overwash_Matrix!$C:$C,2012,Overwash_Matrix!AX:AX,1))</f>
        <v/>
      </c>
      <c r="AS32" s="57" t="str">
        <f>IF(COUNTIF(Overwash_Matrix!$C:$C,2012)=0,"",COUNTIFS(Overwash_Matrix!$C:$C,2012,Overwash_Matrix!AY:AY,1))</f>
        <v/>
      </c>
      <c r="AT32" s="57" t="str">
        <f>IF(COUNTIF(Overwash_Matrix!$C:$C,2012)=0,"",COUNTIFS(Overwash_Matrix!$C:$C,2012,Overwash_Matrix!AZ:AZ,1))</f>
        <v/>
      </c>
      <c r="AU32" s="57" t="str">
        <f>IF(COUNTIF(Overwash_Matrix!$C:$C,2012)=0,"",COUNTIFS(Overwash_Matrix!$C:$C,2012,Overwash_Matrix!BA:BA,1))</f>
        <v/>
      </c>
      <c r="AV32" s="57" t="str">
        <f>IF(COUNTIF(Overwash_Matrix!$C:$C,2012)=0,"",COUNTIFS(Overwash_Matrix!$C:$C,2012,Overwash_Matrix!BB:BB,1))</f>
        <v/>
      </c>
      <c r="AW32" s="57" t="str">
        <f>IF(COUNTIF(Overwash_Matrix!$C:$C,2012)=0,"",COUNTIFS(Overwash_Matrix!$C:$C,2012,Overwash_Matrix!BC:BC,1))</f>
        <v/>
      </c>
      <c r="AX32" s="57" t="str">
        <f>IF(COUNTIF(Overwash_Matrix!$C:$C,2012)=0,"",COUNTIFS(Overwash_Matrix!$C:$C,2012,Overwash_Matrix!BD:BD,1))</f>
        <v/>
      </c>
      <c r="AY32" s="57" t="str">
        <f>IF(COUNTIF(Overwash_Matrix!$C:$C,2012)=0,"",COUNTIFS(Overwash_Matrix!$C:$C,2012,Overwash_Matrix!BE:BE,1))</f>
        <v/>
      </c>
      <c r="AZ32" s="57" t="str">
        <f>IF(COUNTIF(Overwash_Matrix!$C:$C,2012)=0,"",COUNTIFS(Overwash_Matrix!$C:$C,2012,Overwash_Matrix!BF:BF,1))</f>
        <v/>
      </c>
      <c r="BA32" s="57" t="str">
        <f>IF(COUNTIF(Overwash_Matrix!$C:$C,2012)=0,"",COUNTIFS(Overwash_Matrix!$C:$C,2012,Overwash_Matrix!BG:BG,1))</f>
        <v/>
      </c>
      <c r="BB32" s="57" t="str">
        <f>IF(COUNTIF(Overwash_Matrix!$C:$C,2012)=0,"",COUNTIFS(Overwash_Matrix!$C:$C,2012,Overwash_Matrix!BH:BH,1))</f>
        <v/>
      </c>
      <c r="BC32" s="57" t="str">
        <f>IF(COUNTIF(Overwash_Matrix!$C:$C,2012)=0,"",COUNTIFS(Overwash_Matrix!$C:$C,2012,Overwash_Matrix!BI:BI,1))</f>
        <v/>
      </c>
      <c r="BD32" s="57" t="str">
        <f>IF(COUNTIF(Overwash_Matrix!$C:$C,2012)=0,"",COUNTIFS(Overwash_Matrix!$C:$C,2012,Overwash_Matrix!BJ:BJ,1))</f>
        <v/>
      </c>
      <c r="BE32" s="57" t="str">
        <f>IF(COUNTIF(Overwash_Matrix!$C:$C,2012)=0,"",COUNTIFS(Overwash_Matrix!$C:$C,2012,Overwash_Matrix!BK:BK,1))</f>
        <v/>
      </c>
      <c r="BF32" s="57" t="str">
        <f>IF(COUNTIF(Overwash_Matrix!$C:$C,2012)=0,"",COUNTIFS(Overwash_Matrix!$C:$C,2012,Overwash_Matrix!BL:BL,1))</f>
        <v/>
      </c>
      <c r="BG32" s="57" t="str">
        <f>IF(COUNTIF(Overwash_Matrix!$C:$C,2012)=0,"",COUNTIFS(Overwash_Matrix!$C:$C,2012,Overwash_Matrix!BM:BM,1))</f>
        <v/>
      </c>
      <c r="BH32" s="57" t="str">
        <f>IF(COUNTIF(Overwash_Matrix!$C:$C,2012)=0,"",COUNTIFS(Overwash_Matrix!$C:$C,2012,Overwash_Matrix!BN:BN,1))</f>
        <v/>
      </c>
      <c r="BI32" s="57" t="str">
        <f>IF(COUNTIF(Overwash_Matrix!$C:$C,2012)=0,"",COUNTIFS(Overwash_Matrix!$C:$C,2012,Overwash_Matrix!BO:BO,1))</f>
        <v/>
      </c>
      <c r="BJ32" s="57" t="str">
        <f>IF(COUNTIF(Overwash_Matrix!$C:$C,2012)=0,"",COUNTIFS(Overwash_Matrix!$C:$C,2012,Overwash_Matrix!BP:BP,1))</f>
        <v/>
      </c>
      <c r="BK32" s="57" t="str">
        <f>IF(COUNTIF(Overwash_Matrix!$C:$C,2012)=0,"",COUNTIFS(Overwash_Matrix!$C:$C,2012,Overwash_Matrix!BQ:BQ,1))</f>
        <v/>
      </c>
      <c r="BL32" s="57" t="str">
        <f>IF(COUNTIF(Overwash_Matrix!$C:$C,2012)=0,"",COUNTIFS(Overwash_Matrix!$C:$C,2012,Overwash_Matrix!BR:BR,1))</f>
        <v/>
      </c>
      <c r="BM32" s="57" t="str">
        <f>IF(COUNTIF(Overwash_Matrix!$C:$C,2012)=0,"",COUNTIFS(Overwash_Matrix!$C:$C,2012,Overwash_Matrix!BS:BS,1))</f>
        <v/>
      </c>
      <c r="BN32" s="57" t="str">
        <f>IF(COUNTIF(Overwash_Matrix!$C:$C,2012)=0,"",COUNTIFS(Overwash_Matrix!$C:$C,2012,Overwash_Matrix!BT:BT,1))</f>
        <v/>
      </c>
      <c r="BO32" s="57" t="str">
        <f>IF(COUNTIF(Overwash_Matrix!$C:$C,2012)=0,"",COUNTIFS(Overwash_Matrix!$C:$C,2012,Overwash_Matrix!BU:BU,1))</f>
        <v/>
      </c>
      <c r="BP32" s="57" t="str">
        <f>IF(COUNTIF(Overwash_Matrix!$C:$C,2012)=0,"",COUNTIFS(Overwash_Matrix!$C:$C,2012,Overwash_Matrix!BV:BV,1))</f>
        <v/>
      </c>
      <c r="BQ32" s="57" t="str">
        <f>IF(COUNTIF(Overwash_Matrix!$C:$C,2012)=0,"",COUNTIFS(Overwash_Matrix!$C:$C,2012,Overwash_Matrix!BW:BW,1))</f>
        <v/>
      </c>
      <c r="BR32" s="57" t="str">
        <f>IF(COUNTIF(Overwash_Matrix!$C:$C,2012)=0,"",COUNTIFS(Overwash_Matrix!$C:$C,2012,Overwash_Matrix!BX:BX,1))</f>
        <v/>
      </c>
      <c r="BS32" s="57" t="str">
        <f>IF(COUNTIF(Overwash_Matrix!$C:$C,2012)=0,"",COUNTIFS(Overwash_Matrix!$C:$C,2012,Overwash_Matrix!BY:BY,1))</f>
        <v/>
      </c>
      <c r="BT32" s="57" t="str">
        <f>IF(COUNTIF(Overwash_Matrix!$C:$C,2012)=0,"",COUNTIFS(Overwash_Matrix!$C:$C,2012,Overwash_Matrix!BZ:BZ,1))</f>
        <v/>
      </c>
      <c r="BU32" s="57" t="str">
        <f>IF(COUNTIF(Overwash_Matrix!$C:$C,2012)=0,"",COUNTIFS(Overwash_Matrix!$C:$C,2012,Overwash_Matrix!CA:CA,1))</f>
        <v/>
      </c>
      <c r="BV32" s="57" t="str">
        <f>IF(COUNTIF(Overwash_Matrix!$C:$C,2012)=0,"",COUNTIFS(Overwash_Matrix!$C:$C,2012,Overwash_Matrix!CB:CB,1))</f>
        <v/>
      </c>
      <c r="BW32" s="57" t="str">
        <f>IF(COUNTIF(Overwash_Matrix!$C:$C,2012)=0,"",COUNTIFS(Overwash_Matrix!$C:$C,2012,Overwash_Matrix!CC:CC,1))</f>
        <v/>
      </c>
      <c r="BX32" s="57" t="str">
        <f>IF(COUNTIF(Overwash_Matrix!$C:$C,2012)=0,"",COUNTIFS(Overwash_Matrix!$C:$C,2012,Overwash_Matrix!CD:CD,1))</f>
        <v/>
      </c>
      <c r="BY32" s="57" t="str">
        <f>IF(COUNTIF(Overwash_Matrix!$C:$C,2012)=0,"",COUNTIFS(Overwash_Matrix!$C:$C,2012,Overwash_Matrix!CE:CE,1))</f>
        <v/>
      </c>
      <c r="BZ32" s="57" t="str">
        <f>IF(COUNTIF(Overwash_Matrix!$C:$C,2012)=0,"",COUNTIFS(Overwash_Matrix!$C:$C,2012,Overwash_Matrix!CF:CF,1))</f>
        <v/>
      </c>
      <c r="CA32" s="57" t="str">
        <f>IF(COUNTIF(Overwash_Matrix!$C:$C,2012)=0,"",COUNTIFS(Overwash_Matrix!$C:$C,2012,Overwash_Matrix!CG:CG,1))</f>
        <v/>
      </c>
      <c r="CB32" s="57" t="str">
        <f>IF(COUNTIF(Overwash_Matrix!$C:$C,2012)=0,"",COUNTIFS(Overwash_Matrix!$C:$C,2012,Overwash_Matrix!CH:CH,1))</f>
        <v/>
      </c>
      <c r="CC32" s="57" t="str">
        <f>IF(COUNTIF(Overwash_Matrix!$C:$C,2012)=0,"",COUNTIFS(Overwash_Matrix!$C:$C,2012,Overwash_Matrix!CI:CI,1))</f>
        <v/>
      </c>
      <c r="CD32" s="57" t="str">
        <f>IF(COUNTIF(Overwash_Matrix!$C:$C,2012)=0,"",COUNTIFS(Overwash_Matrix!$C:$C,2012,Overwash_Matrix!CJ:CJ,1))</f>
        <v/>
      </c>
      <c r="CE32" s="57" t="str">
        <f>IF(COUNTIF(Overwash_Matrix!$C:$C,2012)=0,"",COUNTIFS(Overwash_Matrix!$C:$C,2012,Overwash_Matrix!CK:CK,1))</f>
        <v/>
      </c>
      <c r="CF32" s="57" t="str">
        <f>IF(COUNTIF(Overwash_Matrix!$C:$C,2012)=0,"",COUNTIFS(Overwash_Matrix!$C:$C,2012,Overwash_Matrix!CL:CL,1))</f>
        <v/>
      </c>
      <c r="CG32" s="57" t="str">
        <f>IF(COUNTIF(Overwash_Matrix!$C:$C,2012)=0,"",COUNTIFS(Overwash_Matrix!$C:$C,2012,Overwash_Matrix!CM:CM,1))</f>
        <v/>
      </c>
      <c r="CH32" s="57" t="str">
        <f>IF(COUNTIF(Overwash_Matrix!$C:$C,2012)=0,"",COUNTIFS(Overwash_Matrix!$C:$C,2012,Overwash_Matrix!CN:CN,1))</f>
        <v/>
      </c>
      <c r="CI32" s="57" t="str">
        <f>IF(COUNTIF(Overwash_Matrix!$C:$C,2012)=0,"",COUNTIFS(Overwash_Matrix!$C:$C,2012,Overwash_Matrix!CO:CO,1))</f>
        <v/>
      </c>
      <c r="CJ32" s="57" t="str">
        <f>IF(COUNTIF(Overwash_Matrix!$C:$C,2012)=0,"",COUNTIFS(Overwash_Matrix!$C:$C,2012,Overwash_Matrix!CP:CP,1))</f>
        <v/>
      </c>
      <c r="CK32" s="57" t="str">
        <f>IF(COUNTIF(Overwash_Matrix!$C:$C,2012)=0,"",COUNTIFS(Overwash_Matrix!$C:$C,2012,Overwash_Matrix!CQ:CQ,1))</f>
        <v/>
      </c>
      <c r="CL32" s="57" t="str">
        <f>IF(COUNTIF(Overwash_Matrix!$C:$C,2012)=0,"",COUNTIFS(Overwash_Matrix!$C:$C,2012,Overwash_Matrix!CR:CR,1))</f>
        <v/>
      </c>
      <c r="CM32" s="57" t="str">
        <f>IF(COUNTIF(Overwash_Matrix!$C:$C,2012)=0,"",COUNTIFS(Overwash_Matrix!$C:$C,2012,Overwash_Matrix!CS:CS,1))</f>
        <v/>
      </c>
      <c r="CN32" s="57" t="str">
        <f>IF(COUNTIF(Overwash_Matrix!$C:$C,2012)=0,"",COUNTIFS(Overwash_Matrix!$C:$C,2012,Overwash_Matrix!CT:CT,1))</f>
        <v/>
      </c>
    </row>
    <row r="33" ht="13.5" customHeight="1">
      <c r="A33" s="88">
        <v>2013.0</v>
      </c>
      <c r="B33" s="89">
        <f>COUNTIF(Overwash_Matrix!$C:$C,2013)</f>
        <v>0</v>
      </c>
      <c r="C33" s="53" t="str">
        <f>IF(COUNTIF(Overwash_Matrix!$C:$C,2013)=0,"",COUNTIFS(Overwash_Matrix!$C:$C,2013,Overwash_Matrix!I:I,1))</f>
        <v/>
      </c>
      <c r="D33" s="53" t="str">
        <f>IF(COUNTIF(Overwash_Matrix!$C:$C,2013)=0,"",COUNTIFS(Overwash_Matrix!$C:$C,2013,Overwash_Matrix!J:J,1))</f>
        <v/>
      </c>
      <c r="E33" s="53" t="str">
        <f>IF(COUNTIF(Overwash_Matrix!$C:$C,2013)=0,"",COUNTIFS(Overwash_Matrix!$C:$C,2013,Overwash_Matrix!K:K,1))</f>
        <v/>
      </c>
      <c r="F33" s="53" t="str">
        <f>IF(COUNTIF(Overwash_Matrix!$C:$C,2013)=0,"",COUNTIFS(Overwash_Matrix!$C:$C,2013,Overwash_Matrix!L:L,1))</f>
        <v/>
      </c>
      <c r="G33" s="53" t="str">
        <f>IF(COUNTIF(Overwash_Matrix!$C:$C,2013)=0,"",COUNTIFS(Overwash_Matrix!$C:$C,2013,Overwash_Matrix!M:M,1))</f>
        <v/>
      </c>
      <c r="H33" s="53" t="str">
        <f>IF(COUNTIF(Overwash_Matrix!$C:$C,2013)=0,"",COUNTIFS(Overwash_Matrix!$C:$C,2013,Overwash_Matrix!N:N,1))</f>
        <v/>
      </c>
      <c r="I33" s="53" t="str">
        <f>IF(COUNTIF(Overwash_Matrix!$C:$C,2013)=0,"",COUNTIFS(Overwash_Matrix!$C:$C,2013,Overwash_Matrix!O:O,1))</f>
        <v/>
      </c>
      <c r="J33" s="53" t="str">
        <f>IF(COUNTIF(Overwash_Matrix!$C:$C,2013)=0,"",COUNTIFS(Overwash_Matrix!$C:$C,2013,Overwash_Matrix!P:P,1))</f>
        <v/>
      </c>
      <c r="K33" s="53" t="str">
        <f>IF(COUNTIF(Overwash_Matrix!$C:$C,2013)=0,"",COUNTIFS(Overwash_Matrix!$C:$C,2013,Overwash_Matrix!Q:Q,1))</f>
        <v/>
      </c>
      <c r="L33" s="53" t="str">
        <f>IF(COUNTIF(Overwash_Matrix!$C:$C,2013)=0,"",COUNTIFS(Overwash_Matrix!$C:$C,2013,Overwash_Matrix!R:R,1))</f>
        <v/>
      </c>
      <c r="M33" s="53" t="str">
        <f>IF(COUNTIF(Overwash_Matrix!$C:$C,2013)=0,"",COUNTIFS(Overwash_Matrix!$C:$C,2013,Overwash_Matrix!S:S,1))</f>
        <v/>
      </c>
      <c r="N33" s="53" t="str">
        <f>IF(COUNTIF(Overwash_Matrix!$C:$C,2013)=0,"",COUNTIFS(Overwash_Matrix!$C:$C,2013,Overwash_Matrix!T:T,1))</f>
        <v/>
      </c>
      <c r="O33" s="53" t="str">
        <f>IF(COUNTIF(Overwash_Matrix!$C:$C,2013)=0,"",COUNTIFS(Overwash_Matrix!$C:$C,2013,Overwash_Matrix!U:U,1))</f>
        <v/>
      </c>
      <c r="P33" s="53" t="str">
        <f>IF(COUNTIF(Overwash_Matrix!$C:$C,2013)=0,"",COUNTIFS(Overwash_Matrix!$C:$C,2013,Overwash_Matrix!V:V,1))</f>
        <v/>
      </c>
      <c r="Q33" s="53" t="str">
        <f>IF(COUNTIF(Overwash_Matrix!$C:$C,2013)=0,"",COUNTIFS(Overwash_Matrix!$C:$C,2013,Overwash_Matrix!W:W,1))</f>
        <v/>
      </c>
      <c r="R33" s="53" t="str">
        <f>IF(COUNTIF(Overwash_Matrix!$C:$C,2013)=0,"",COUNTIFS(Overwash_Matrix!$C:$C,2013,Overwash_Matrix!X:X,1))</f>
        <v/>
      </c>
      <c r="S33" s="53" t="str">
        <f>IF(COUNTIF(Overwash_Matrix!$C:$C,2013)=0,"",COUNTIFS(Overwash_Matrix!$C:$C,2013,Overwash_Matrix!Y:Y,1))</f>
        <v/>
      </c>
      <c r="T33" s="53" t="str">
        <f>IF(COUNTIF(Overwash_Matrix!$C:$C,2013)=0,"",COUNTIFS(Overwash_Matrix!$C:$C,2013,Overwash_Matrix!Z:Z,1))</f>
        <v/>
      </c>
      <c r="U33" s="53" t="str">
        <f>IF(COUNTIF(Overwash_Matrix!$C:$C,2013)=0,"",COUNTIFS(Overwash_Matrix!$C:$C,2013,Overwash_Matrix!AA:AA,1))</f>
        <v/>
      </c>
      <c r="V33" s="53" t="str">
        <f>IF(COUNTIF(Overwash_Matrix!$C:$C,2013)=0,"",COUNTIFS(Overwash_Matrix!$C:$C,2013,Overwash_Matrix!AB:AB,1))</f>
        <v/>
      </c>
      <c r="W33" s="53" t="str">
        <f>IF(COUNTIF(Overwash_Matrix!$C:$C,2013)=0,"",COUNTIFS(Overwash_Matrix!$C:$C,2013,Overwash_Matrix!AC:AC,1))</f>
        <v/>
      </c>
      <c r="X33" s="53" t="str">
        <f>IF(COUNTIF(Overwash_Matrix!$C:$C,2013)=0,"",COUNTIFS(Overwash_Matrix!$C:$C,2013,Overwash_Matrix!AD:AD,1))</f>
        <v/>
      </c>
      <c r="Y33" s="53" t="str">
        <f>IF(COUNTIF(Overwash_Matrix!$C:$C,2013)=0,"",COUNTIFS(Overwash_Matrix!$C:$C,2013,Overwash_Matrix!AE:AE,1))</f>
        <v/>
      </c>
      <c r="Z33" s="53" t="str">
        <f>IF(COUNTIF(Overwash_Matrix!$C:$C,2013)=0,"",COUNTIFS(Overwash_Matrix!$C:$C,2013,Overwash_Matrix!AF:AF,1))</f>
        <v/>
      </c>
      <c r="AA33" s="53" t="str">
        <f>IF(COUNTIF(Overwash_Matrix!$C:$C,2013)=0,"",COUNTIFS(Overwash_Matrix!$C:$C,2013,Overwash_Matrix!AG:AG,1))</f>
        <v/>
      </c>
      <c r="AB33" s="53" t="str">
        <f>IF(COUNTIF(Overwash_Matrix!$C:$C,2013)=0,"",COUNTIFS(Overwash_Matrix!$C:$C,2013,Overwash_Matrix!AH:AH,1))</f>
        <v/>
      </c>
      <c r="AC33" s="53" t="str">
        <f>IF(COUNTIF(Overwash_Matrix!$C:$C,2013)=0,"",COUNTIFS(Overwash_Matrix!$C:$C,2013,Overwash_Matrix!AI:AI,1))</f>
        <v/>
      </c>
      <c r="AD33" s="53" t="str">
        <f>IF(COUNTIF(Overwash_Matrix!$C:$C,2013)=0,"",COUNTIFS(Overwash_Matrix!$C:$C,2013,Overwash_Matrix!AJ:AJ,1))</f>
        <v/>
      </c>
      <c r="AE33" s="53" t="str">
        <f>IF(COUNTIF(Overwash_Matrix!$C:$C,2013)=0,"",COUNTIFS(Overwash_Matrix!$C:$C,2013,Overwash_Matrix!AK:AK,1))</f>
        <v/>
      </c>
      <c r="AF33" s="53" t="str">
        <f>IF(COUNTIF(Overwash_Matrix!$C:$C,2013)=0,"",COUNTIFS(Overwash_Matrix!$C:$C,2013,Overwash_Matrix!AL:AL,1))</f>
        <v/>
      </c>
      <c r="AG33" s="53" t="str">
        <f>IF(COUNTIF(Overwash_Matrix!$C:$C,2013)=0,"",COUNTIFS(Overwash_Matrix!$C:$C,2013,Overwash_Matrix!AM:AM,1))</f>
        <v/>
      </c>
      <c r="AH33" s="53" t="str">
        <f>IF(COUNTIF(Overwash_Matrix!$C:$C,2013)=0,"",COUNTIFS(Overwash_Matrix!$C:$C,2013,Overwash_Matrix!AN:AN,1))</f>
        <v/>
      </c>
      <c r="AI33" s="53" t="str">
        <f>IF(COUNTIF(Overwash_Matrix!$C:$C,2013)=0,"",COUNTIFS(Overwash_Matrix!$C:$C,2013,Overwash_Matrix!AO:AO,1))</f>
        <v/>
      </c>
      <c r="AJ33" s="53" t="str">
        <f>IF(COUNTIF(Overwash_Matrix!$C:$C,2013)=0,"",COUNTIFS(Overwash_Matrix!$C:$C,2013,Overwash_Matrix!AP:AP,1))</f>
        <v/>
      </c>
      <c r="AK33" s="53" t="str">
        <f>IF(COUNTIF(Overwash_Matrix!$C:$C,2013)=0,"",COUNTIFS(Overwash_Matrix!$C:$C,2013,Overwash_Matrix!AQ:AQ,1))</f>
        <v/>
      </c>
      <c r="AL33" s="53" t="str">
        <f>IF(COUNTIF(Overwash_Matrix!$C:$C,2013)=0,"",COUNTIFS(Overwash_Matrix!$C:$C,2013,Overwash_Matrix!AR:AR,1))</f>
        <v/>
      </c>
      <c r="AM33" s="53" t="str">
        <f>IF(COUNTIF(Overwash_Matrix!$C:$C,2013)=0,"",COUNTIFS(Overwash_Matrix!$C:$C,2013,Overwash_Matrix!AS:AS,1))</f>
        <v/>
      </c>
      <c r="AN33" s="53" t="str">
        <f>IF(COUNTIF(Overwash_Matrix!$C:$C,2013)=0,"",COUNTIFS(Overwash_Matrix!$C:$C,2013,Overwash_Matrix!AT:AT,1))</f>
        <v/>
      </c>
      <c r="AO33" s="53" t="str">
        <f>IF(COUNTIF(Overwash_Matrix!$C:$C,2013)=0,"",COUNTIFS(Overwash_Matrix!$C:$C,2013,Overwash_Matrix!AU:AU,1))</f>
        <v/>
      </c>
      <c r="AP33" s="53" t="str">
        <f>IF(COUNTIF(Overwash_Matrix!$C:$C,2013)=0,"",COUNTIFS(Overwash_Matrix!$C:$C,2013,Overwash_Matrix!AV:AV,1))</f>
        <v/>
      </c>
      <c r="AQ33" s="53" t="str">
        <f>IF(COUNTIF(Overwash_Matrix!$C:$C,2013)=0,"",COUNTIFS(Overwash_Matrix!$C:$C,2013,Overwash_Matrix!AW:AW,1))</f>
        <v/>
      </c>
      <c r="AR33" s="53" t="str">
        <f>IF(COUNTIF(Overwash_Matrix!$C:$C,2013)=0,"",COUNTIFS(Overwash_Matrix!$C:$C,2013,Overwash_Matrix!AX:AX,1))</f>
        <v/>
      </c>
      <c r="AS33" s="53" t="str">
        <f>IF(COUNTIF(Overwash_Matrix!$C:$C,2013)=0,"",COUNTIFS(Overwash_Matrix!$C:$C,2013,Overwash_Matrix!AY:AY,1))</f>
        <v/>
      </c>
      <c r="AT33" s="53" t="str">
        <f>IF(COUNTIF(Overwash_Matrix!$C:$C,2013)=0,"",COUNTIFS(Overwash_Matrix!$C:$C,2013,Overwash_Matrix!AZ:AZ,1))</f>
        <v/>
      </c>
      <c r="AU33" s="53" t="str">
        <f>IF(COUNTIF(Overwash_Matrix!$C:$C,2013)=0,"",COUNTIFS(Overwash_Matrix!$C:$C,2013,Overwash_Matrix!BA:BA,1))</f>
        <v/>
      </c>
      <c r="AV33" s="53" t="str">
        <f>IF(COUNTIF(Overwash_Matrix!$C:$C,2013)=0,"",COUNTIFS(Overwash_Matrix!$C:$C,2013,Overwash_Matrix!BB:BB,1))</f>
        <v/>
      </c>
      <c r="AW33" s="53" t="str">
        <f>IF(COUNTIF(Overwash_Matrix!$C:$C,2013)=0,"",COUNTIFS(Overwash_Matrix!$C:$C,2013,Overwash_Matrix!BC:BC,1))</f>
        <v/>
      </c>
      <c r="AX33" s="53" t="str">
        <f>IF(COUNTIF(Overwash_Matrix!$C:$C,2013)=0,"",COUNTIFS(Overwash_Matrix!$C:$C,2013,Overwash_Matrix!BD:BD,1))</f>
        <v/>
      </c>
      <c r="AY33" s="53" t="str">
        <f>IF(COUNTIF(Overwash_Matrix!$C:$C,2013)=0,"",COUNTIFS(Overwash_Matrix!$C:$C,2013,Overwash_Matrix!BE:BE,1))</f>
        <v/>
      </c>
      <c r="AZ33" s="53" t="str">
        <f>IF(COUNTIF(Overwash_Matrix!$C:$C,2013)=0,"",COUNTIFS(Overwash_Matrix!$C:$C,2013,Overwash_Matrix!BF:BF,1))</f>
        <v/>
      </c>
      <c r="BA33" s="53" t="str">
        <f>IF(COUNTIF(Overwash_Matrix!$C:$C,2013)=0,"",COUNTIFS(Overwash_Matrix!$C:$C,2013,Overwash_Matrix!BG:BG,1))</f>
        <v/>
      </c>
      <c r="BB33" s="53" t="str">
        <f>IF(COUNTIF(Overwash_Matrix!$C:$C,2013)=0,"",COUNTIFS(Overwash_Matrix!$C:$C,2013,Overwash_Matrix!BH:BH,1))</f>
        <v/>
      </c>
      <c r="BC33" s="53" t="str">
        <f>IF(COUNTIF(Overwash_Matrix!$C:$C,2013)=0,"",COUNTIFS(Overwash_Matrix!$C:$C,2013,Overwash_Matrix!BI:BI,1))</f>
        <v/>
      </c>
      <c r="BD33" s="53" t="str">
        <f>IF(COUNTIF(Overwash_Matrix!$C:$C,2013)=0,"",COUNTIFS(Overwash_Matrix!$C:$C,2013,Overwash_Matrix!BJ:BJ,1))</f>
        <v/>
      </c>
      <c r="BE33" s="53" t="str">
        <f>IF(COUNTIF(Overwash_Matrix!$C:$C,2013)=0,"",COUNTIFS(Overwash_Matrix!$C:$C,2013,Overwash_Matrix!BK:BK,1))</f>
        <v/>
      </c>
      <c r="BF33" s="53" t="str">
        <f>IF(COUNTIF(Overwash_Matrix!$C:$C,2013)=0,"",COUNTIFS(Overwash_Matrix!$C:$C,2013,Overwash_Matrix!BL:BL,1))</f>
        <v/>
      </c>
      <c r="BG33" s="53" t="str">
        <f>IF(COUNTIF(Overwash_Matrix!$C:$C,2013)=0,"",COUNTIFS(Overwash_Matrix!$C:$C,2013,Overwash_Matrix!BM:BM,1))</f>
        <v/>
      </c>
      <c r="BH33" s="53" t="str">
        <f>IF(COUNTIF(Overwash_Matrix!$C:$C,2013)=0,"",COUNTIFS(Overwash_Matrix!$C:$C,2013,Overwash_Matrix!BN:BN,1))</f>
        <v/>
      </c>
      <c r="BI33" s="53" t="str">
        <f>IF(COUNTIF(Overwash_Matrix!$C:$C,2013)=0,"",COUNTIFS(Overwash_Matrix!$C:$C,2013,Overwash_Matrix!BO:BO,1))</f>
        <v/>
      </c>
      <c r="BJ33" s="53" t="str">
        <f>IF(COUNTIF(Overwash_Matrix!$C:$C,2013)=0,"",COUNTIFS(Overwash_Matrix!$C:$C,2013,Overwash_Matrix!BP:BP,1))</f>
        <v/>
      </c>
      <c r="BK33" s="53" t="str">
        <f>IF(COUNTIF(Overwash_Matrix!$C:$C,2013)=0,"",COUNTIFS(Overwash_Matrix!$C:$C,2013,Overwash_Matrix!BQ:BQ,1))</f>
        <v/>
      </c>
      <c r="BL33" s="53" t="str">
        <f>IF(COUNTIF(Overwash_Matrix!$C:$C,2013)=0,"",COUNTIFS(Overwash_Matrix!$C:$C,2013,Overwash_Matrix!BR:BR,1))</f>
        <v/>
      </c>
      <c r="BM33" s="53" t="str">
        <f>IF(COUNTIF(Overwash_Matrix!$C:$C,2013)=0,"",COUNTIFS(Overwash_Matrix!$C:$C,2013,Overwash_Matrix!BS:BS,1))</f>
        <v/>
      </c>
      <c r="BN33" s="53" t="str">
        <f>IF(COUNTIF(Overwash_Matrix!$C:$C,2013)=0,"",COUNTIFS(Overwash_Matrix!$C:$C,2013,Overwash_Matrix!BT:BT,1))</f>
        <v/>
      </c>
      <c r="BO33" s="53" t="str">
        <f>IF(COUNTIF(Overwash_Matrix!$C:$C,2013)=0,"",COUNTIFS(Overwash_Matrix!$C:$C,2013,Overwash_Matrix!BU:BU,1))</f>
        <v/>
      </c>
      <c r="BP33" s="53" t="str">
        <f>IF(COUNTIF(Overwash_Matrix!$C:$C,2013)=0,"",COUNTIFS(Overwash_Matrix!$C:$C,2013,Overwash_Matrix!BV:BV,1))</f>
        <v/>
      </c>
      <c r="BQ33" s="53" t="str">
        <f>IF(COUNTIF(Overwash_Matrix!$C:$C,2013)=0,"",COUNTIFS(Overwash_Matrix!$C:$C,2013,Overwash_Matrix!BW:BW,1))</f>
        <v/>
      </c>
      <c r="BR33" s="53" t="str">
        <f>IF(COUNTIF(Overwash_Matrix!$C:$C,2013)=0,"",COUNTIFS(Overwash_Matrix!$C:$C,2013,Overwash_Matrix!BX:BX,1))</f>
        <v/>
      </c>
      <c r="BS33" s="53" t="str">
        <f>IF(COUNTIF(Overwash_Matrix!$C:$C,2013)=0,"",COUNTIFS(Overwash_Matrix!$C:$C,2013,Overwash_Matrix!BY:BY,1))</f>
        <v/>
      </c>
      <c r="BT33" s="53" t="str">
        <f>IF(COUNTIF(Overwash_Matrix!$C:$C,2013)=0,"",COUNTIFS(Overwash_Matrix!$C:$C,2013,Overwash_Matrix!BZ:BZ,1))</f>
        <v/>
      </c>
      <c r="BU33" s="53" t="str">
        <f>IF(COUNTIF(Overwash_Matrix!$C:$C,2013)=0,"",COUNTIFS(Overwash_Matrix!$C:$C,2013,Overwash_Matrix!CA:CA,1))</f>
        <v/>
      </c>
      <c r="BV33" s="53" t="str">
        <f>IF(COUNTIF(Overwash_Matrix!$C:$C,2013)=0,"",COUNTIFS(Overwash_Matrix!$C:$C,2013,Overwash_Matrix!CB:CB,1))</f>
        <v/>
      </c>
      <c r="BW33" s="53" t="str">
        <f>IF(COUNTIF(Overwash_Matrix!$C:$C,2013)=0,"",COUNTIFS(Overwash_Matrix!$C:$C,2013,Overwash_Matrix!CC:CC,1))</f>
        <v/>
      </c>
      <c r="BX33" s="53" t="str">
        <f>IF(COUNTIF(Overwash_Matrix!$C:$C,2013)=0,"",COUNTIFS(Overwash_Matrix!$C:$C,2013,Overwash_Matrix!CD:CD,1))</f>
        <v/>
      </c>
      <c r="BY33" s="53" t="str">
        <f>IF(COUNTIF(Overwash_Matrix!$C:$C,2013)=0,"",COUNTIFS(Overwash_Matrix!$C:$C,2013,Overwash_Matrix!CE:CE,1))</f>
        <v/>
      </c>
      <c r="BZ33" s="53" t="str">
        <f>IF(COUNTIF(Overwash_Matrix!$C:$C,2013)=0,"",COUNTIFS(Overwash_Matrix!$C:$C,2013,Overwash_Matrix!CF:CF,1))</f>
        <v/>
      </c>
      <c r="CA33" s="53" t="str">
        <f>IF(COUNTIF(Overwash_Matrix!$C:$C,2013)=0,"",COUNTIFS(Overwash_Matrix!$C:$C,2013,Overwash_Matrix!CG:CG,1))</f>
        <v/>
      </c>
      <c r="CB33" s="53" t="str">
        <f>IF(COUNTIF(Overwash_Matrix!$C:$C,2013)=0,"",COUNTIFS(Overwash_Matrix!$C:$C,2013,Overwash_Matrix!CH:CH,1))</f>
        <v/>
      </c>
      <c r="CC33" s="53" t="str">
        <f>IF(COUNTIF(Overwash_Matrix!$C:$C,2013)=0,"",COUNTIFS(Overwash_Matrix!$C:$C,2013,Overwash_Matrix!CI:CI,1))</f>
        <v/>
      </c>
      <c r="CD33" s="53" t="str">
        <f>IF(COUNTIF(Overwash_Matrix!$C:$C,2013)=0,"",COUNTIFS(Overwash_Matrix!$C:$C,2013,Overwash_Matrix!CJ:CJ,1))</f>
        <v/>
      </c>
      <c r="CE33" s="53" t="str">
        <f>IF(COUNTIF(Overwash_Matrix!$C:$C,2013)=0,"",COUNTIFS(Overwash_Matrix!$C:$C,2013,Overwash_Matrix!CK:CK,1))</f>
        <v/>
      </c>
      <c r="CF33" s="53" t="str">
        <f>IF(COUNTIF(Overwash_Matrix!$C:$C,2013)=0,"",COUNTIFS(Overwash_Matrix!$C:$C,2013,Overwash_Matrix!CL:CL,1))</f>
        <v/>
      </c>
      <c r="CG33" s="53" t="str">
        <f>IF(COUNTIF(Overwash_Matrix!$C:$C,2013)=0,"",COUNTIFS(Overwash_Matrix!$C:$C,2013,Overwash_Matrix!CM:CM,1))</f>
        <v/>
      </c>
      <c r="CH33" s="53" t="str">
        <f>IF(COUNTIF(Overwash_Matrix!$C:$C,2013)=0,"",COUNTIFS(Overwash_Matrix!$C:$C,2013,Overwash_Matrix!CN:CN,1))</f>
        <v/>
      </c>
      <c r="CI33" s="53" t="str">
        <f>IF(COUNTIF(Overwash_Matrix!$C:$C,2013)=0,"",COUNTIFS(Overwash_Matrix!$C:$C,2013,Overwash_Matrix!CO:CO,1))</f>
        <v/>
      </c>
      <c r="CJ33" s="53" t="str">
        <f>IF(COUNTIF(Overwash_Matrix!$C:$C,2013)=0,"",COUNTIFS(Overwash_Matrix!$C:$C,2013,Overwash_Matrix!CP:CP,1))</f>
        <v/>
      </c>
      <c r="CK33" s="53" t="str">
        <f>IF(COUNTIF(Overwash_Matrix!$C:$C,2013)=0,"",COUNTIFS(Overwash_Matrix!$C:$C,2013,Overwash_Matrix!CQ:CQ,1))</f>
        <v/>
      </c>
      <c r="CL33" s="53" t="str">
        <f>IF(COUNTIF(Overwash_Matrix!$C:$C,2013)=0,"",COUNTIFS(Overwash_Matrix!$C:$C,2013,Overwash_Matrix!CR:CR,1))</f>
        <v/>
      </c>
      <c r="CM33" s="53" t="str">
        <f>IF(COUNTIF(Overwash_Matrix!$C:$C,2013)=0,"",COUNTIFS(Overwash_Matrix!$C:$C,2013,Overwash_Matrix!CS:CS,1))</f>
        <v/>
      </c>
      <c r="CN33" s="53" t="str">
        <f>IF(COUNTIF(Overwash_Matrix!$C:$C,2013)=0,"",COUNTIFS(Overwash_Matrix!$C:$C,2013,Overwash_Matrix!CT:CT,1))</f>
        <v/>
      </c>
    </row>
    <row r="34" ht="13.5" customHeight="1">
      <c r="A34" s="86">
        <v>2014.0</v>
      </c>
      <c r="B34" s="87">
        <f>COUNTIF(Overwash_Matrix!$C:$C,2014)</f>
        <v>0</v>
      </c>
      <c r="C34" s="57" t="str">
        <f>IF(COUNTIF(Overwash_Matrix!$C:$C,2014)=0,"",COUNTIFS(Overwash_Matrix!$C:$C,2014,Overwash_Matrix!I:I,1))</f>
        <v/>
      </c>
      <c r="D34" s="57" t="str">
        <f>IF(COUNTIF(Overwash_Matrix!$C:$C,2014)=0,"",COUNTIFS(Overwash_Matrix!$C:$C,2014,Overwash_Matrix!J:J,1))</f>
        <v/>
      </c>
      <c r="E34" s="57" t="str">
        <f>IF(COUNTIF(Overwash_Matrix!$C:$C,2014)=0,"",COUNTIFS(Overwash_Matrix!$C:$C,2014,Overwash_Matrix!K:K,1))</f>
        <v/>
      </c>
      <c r="F34" s="57" t="str">
        <f>IF(COUNTIF(Overwash_Matrix!$C:$C,2014)=0,"",COUNTIFS(Overwash_Matrix!$C:$C,2014,Overwash_Matrix!L:L,1))</f>
        <v/>
      </c>
      <c r="G34" s="57" t="str">
        <f>IF(COUNTIF(Overwash_Matrix!$C:$C,2014)=0,"",COUNTIFS(Overwash_Matrix!$C:$C,2014,Overwash_Matrix!M:M,1))</f>
        <v/>
      </c>
      <c r="H34" s="57" t="str">
        <f>IF(COUNTIF(Overwash_Matrix!$C:$C,2014)=0,"",COUNTIFS(Overwash_Matrix!$C:$C,2014,Overwash_Matrix!N:N,1))</f>
        <v/>
      </c>
      <c r="I34" s="57" t="str">
        <f>IF(COUNTIF(Overwash_Matrix!$C:$C,2014)=0,"",COUNTIFS(Overwash_Matrix!$C:$C,2014,Overwash_Matrix!O:O,1))</f>
        <v/>
      </c>
      <c r="J34" s="57" t="str">
        <f>IF(COUNTIF(Overwash_Matrix!$C:$C,2014)=0,"",COUNTIFS(Overwash_Matrix!$C:$C,2014,Overwash_Matrix!P:P,1))</f>
        <v/>
      </c>
      <c r="K34" s="57" t="str">
        <f>IF(COUNTIF(Overwash_Matrix!$C:$C,2014)=0,"",COUNTIFS(Overwash_Matrix!$C:$C,2014,Overwash_Matrix!Q:Q,1))</f>
        <v/>
      </c>
      <c r="L34" s="57" t="str">
        <f>IF(COUNTIF(Overwash_Matrix!$C:$C,2014)=0,"",COUNTIFS(Overwash_Matrix!$C:$C,2014,Overwash_Matrix!R:R,1))</f>
        <v/>
      </c>
      <c r="M34" s="57" t="str">
        <f>IF(COUNTIF(Overwash_Matrix!$C:$C,2014)=0,"",COUNTIFS(Overwash_Matrix!$C:$C,2014,Overwash_Matrix!S:S,1))</f>
        <v/>
      </c>
      <c r="N34" s="57" t="str">
        <f>IF(COUNTIF(Overwash_Matrix!$C:$C,2014)=0,"",COUNTIFS(Overwash_Matrix!$C:$C,2014,Overwash_Matrix!T:T,1))</f>
        <v/>
      </c>
      <c r="O34" s="57" t="str">
        <f>IF(COUNTIF(Overwash_Matrix!$C:$C,2014)=0,"",COUNTIFS(Overwash_Matrix!$C:$C,2014,Overwash_Matrix!U:U,1))</f>
        <v/>
      </c>
      <c r="P34" s="57" t="str">
        <f>IF(COUNTIF(Overwash_Matrix!$C:$C,2014)=0,"",COUNTIFS(Overwash_Matrix!$C:$C,2014,Overwash_Matrix!V:V,1))</f>
        <v/>
      </c>
      <c r="Q34" s="57" t="str">
        <f>IF(COUNTIF(Overwash_Matrix!$C:$C,2014)=0,"",COUNTIFS(Overwash_Matrix!$C:$C,2014,Overwash_Matrix!W:W,1))</f>
        <v/>
      </c>
      <c r="R34" s="57" t="str">
        <f>IF(COUNTIF(Overwash_Matrix!$C:$C,2014)=0,"",COUNTIFS(Overwash_Matrix!$C:$C,2014,Overwash_Matrix!X:X,1))</f>
        <v/>
      </c>
      <c r="S34" s="57" t="str">
        <f>IF(COUNTIF(Overwash_Matrix!$C:$C,2014)=0,"",COUNTIFS(Overwash_Matrix!$C:$C,2014,Overwash_Matrix!Y:Y,1))</f>
        <v/>
      </c>
      <c r="T34" s="57" t="str">
        <f>IF(COUNTIF(Overwash_Matrix!$C:$C,2014)=0,"",COUNTIFS(Overwash_Matrix!$C:$C,2014,Overwash_Matrix!Z:Z,1))</f>
        <v/>
      </c>
      <c r="U34" s="57" t="str">
        <f>IF(COUNTIF(Overwash_Matrix!$C:$C,2014)=0,"",COUNTIFS(Overwash_Matrix!$C:$C,2014,Overwash_Matrix!AA:AA,1))</f>
        <v/>
      </c>
      <c r="V34" s="57" t="str">
        <f>IF(COUNTIF(Overwash_Matrix!$C:$C,2014)=0,"",COUNTIFS(Overwash_Matrix!$C:$C,2014,Overwash_Matrix!AB:AB,1))</f>
        <v/>
      </c>
      <c r="W34" s="57" t="str">
        <f>IF(COUNTIF(Overwash_Matrix!$C:$C,2014)=0,"",COUNTIFS(Overwash_Matrix!$C:$C,2014,Overwash_Matrix!AC:AC,1))</f>
        <v/>
      </c>
      <c r="X34" s="57" t="str">
        <f>IF(COUNTIF(Overwash_Matrix!$C:$C,2014)=0,"",COUNTIFS(Overwash_Matrix!$C:$C,2014,Overwash_Matrix!AD:AD,1))</f>
        <v/>
      </c>
      <c r="Y34" s="57" t="str">
        <f>IF(COUNTIF(Overwash_Matrix!$C:$C,2014)=0,"",COUNTIFS(Overwash_Matrix!$C:$C,2014,Overwash_Matrix!AE:AE,1))</f>
        <v/>
      </c>
      <c r="Z34" s="57" t="str">
        <f>IF(COUNTIF(Overwash_Matrix!$C:$C,2014)=0,"",COUNTIFS(Overwash_Matrix!$C:$C,2014,Overwash_Matrix!AF:AF,1))</f>
        <v/>
      </c>
      <c r="AA34" s="57" t="str">
        <f>IF(COUNTIF(Overwash_Matrix!$C:$C,2014)=0,"",COUNTIFS(Overwash_Matrix!$C:$C,2014,Overwash_Matrix!AG:AG,1))</f>
        <v/>
      </c>
      <c r="AB34" s="57" t="str">
        <f>IF(COUNTIF(Overwash_Matrix!$C:$C,2014)=0,"",COUNTIFS(Overwash_Matrix!$C:$C,2014,Overwash_Matrix!AH:AH,1))</f>
        <v/>
      </c>
      <c r="AC34" s="57" t="str">
        <f>IF(COUNTIF(Overwash_Matrix!$C:$C,2014)=0,"",COUNTIFS(Overwash_Matrix!$C:$C,2014,Overwash_Matrix!AI:AI,1))</f>
        <v/>
      </c>
      <c r="AD34" s="57" t="str">
        <f>IF(COUNTIF(Overwash_Matrix!$C:$C,2014)=0,"",COUNTIFS(Overwash_Matrix!$C:$C,2014,Overwash_Matrix!AJ:AJ,1))</f>
        <v/>
      </c>
      <c r="AE34" s="57" t="str">
        <f>IF(COUNTIF(Overwash_Matrix!$C:$C,2014)=0,"",COUNTIFS(Overwash_Matrix!$C:$C,2014,Overwash_Matrix!AK:AK,1))</f>
        <v/>
      </c>
      <c r="AF34" s="57" t="str">
        <f>IF(COUNTIF(Overwash_Matrix!$C:$C,2014)=0,"",COUNTIFS(Overwash_Matrix!$C:$C,2014,Overwash_Matrix!AL:AL,1))</f>
        <v/>
      </c>
      <c r="AG34" s="57" t="str">
        <f>IF(COUNTIF(Overwash_Matrix!$C:$C,2014)=0,"",COUNTIFS(Overwash_Matrix!$C:$C,2014,Overwash_Matrix!AM:AM,1))</f>
        <v/>
      </c>
      <c r="AH34" s="57" t="str">
        <f>IF(COUNTIF(Overwash_Matrix!$C:$C,2014)=0,"",COUNTIFS(Overwash_Matrix!$C:$C,2014,Overwash_Matrix!AN:AN,1))</f>
        <v/>
      </c>
      <c r="AI34" s="57" t="str">
        <f>IF(COUNTIF(Overwash_Matrix!$C:$C,2014)=0,"",COUNTIFS(Overwash_Matrix!$C:$C,2014,Overwash_Matrix!AO:AO,1))</f>
        <v/>
      </c>
      <c r="AJ34" s="57" t="str">
        <f>IF(COUNTIF(Overwash_Matrix!$C:$C,2014)=0,"",COUNTIFS(Overwash_Matrix!$C:$C,2014,Overwash_Matrix!AP:AP,1))</f>
        <v/>
      </c>
      <c r="AK34" s="57" t="str">
        <f>IF(COUNTIF(Overwash_Matrix!$C:$C,2014)=0,"",COUNTIFS(Overwash_Matrix!$C:$C,2014,Overwash_Matrix!AQ:AQ,1))</f>
        <v/>
      </c>
      <c r="AL34" s="57" t="str">
        <f>IF(COUNTIF(Overwash_Matrix!$C:$C,2014)=0,"",COUNTIFS(Overwash_Matrix!$C:$C,2014,Overwash_Matrix!AR:AR,1))</f>
        <v/>
      </c>
      <c r="AM34" s="57" t="str">
        <f>IF(COUNTIF(Overwash_Matrix!$C:$C,2014)=0,"",COUNTIFS(Overwash_Matrix!$C:$C,2014,Overwash_Matrix!AS:AS,1))</f>
        <v/>
      </c>
      <c r="AN34" s="57" t="str">
        <f>IF(COUNTIF(Overwash_Matrix!$C:$C,2014)=0,"",COUNTIFS(Overwash_Matrix!$C:$C,2014,Overwash_Matrix!AT:AT,1))</f>
        <v/>
      </c>
      <c r="AO34" s="57" t="str">
        <f>IF(COUNTIF(Overwash_Matrix!$C:$C,2014)=0,"",COUNTIFS(Overwash_Matrix!$C:$C,2014,Overwash_Matrix!AU:AU,1))</f>
        <v/>
      </c>
      <c r="AP34" s="57" t="str">
        <f>IF(COUNTIF(Overwash_Matrix!$C:$C,2014)=0,"",COUNTIFS(Overwash_Matrix!$C:$C,2014,Overwash_Matrix!AV:AV,1))</f>
        <v/>
      </c>
      <c r="AQ34" s="57" t="str">
        <f>IF(COUNTIF(Overwash_Matrix!$C:$C,2014)=0,"",COUNTIFS(Overwash_Matrix!$C:$C,2014,Overwash_Matrix!AW:AW,1))</f>
        <v/>
      </c>
      <c r="AR34" s="57" t="str">
        <f>IF(COUNTIF(Overwash_Matrix!$C:$C,2014)=0,"",COUNTIFS(Overwash_Matrix!$C:$C,2014,Overwash_Matrix!AX:AX,1))</f>
        <v/>
      </c>
      <c r="AS34" s="57" t="str">
        <f>IF(COUNTIF(Overwash_Matrix!$C:$C,2014)=0,"",COUNTIFS(Overwash_Matrix!$C:$C,2014,Overwash_Matrix!AY:AY,1))</f>
        <v/>
      </c>
      <c r="AT34" s="57" t="str">
        <f>IF(COUNTIF(Overwash_Matrix!$C:$C,2014)=0,"",COUNTIFS(Overwash_Matrix!$C:$C,2014,Overwash_Matrix!AZ:AZ,1))</f>
        <v/>
      </c>
      <c r="AU34" s="57" t="str">
        <f>IF(COUNTIF(Overwash_Matrix!$C:$C,2014)=0,"",COUNTIFS(Overwash_Matrix!$C:$C,2014,Overwash_Matrix!BA:BA,1))</f>
        <v/>
      </c>
      <c r="AV34" s="57" t="str">
        <f>IF(COUNTIF(Overwash_Matrix!$C:$C,2014)=0,"",COUNTIFS(Overwash_Matrix!$C:$C,2014,Overwash_Matrix!BB:BB,1))</f>
        <v/>
      </c>
      <c r="AW34" s="57" t="str">
        <f>IF(COUNTIF(Overwash_Matrix!$C:$C,2014)=0,"",COUNTIFS(Overwash_Matrix!$C:$C,2014,Overwash_Matrix!BC:BC,1))</f>
        <v/>
      </c>
      <c r="AX34" s="57" t="str">
        <f>IF(COUNTIF(Overwash_Matrix!$C:$C,2014)=0,"",COUNTIFS(Overwash_Matrix!$C:$C,2014,Overwash_Matrix!BD:BD,1))</f>
        <v/>
      </c>
      <c r="AY34" s="57" t="str">
        <f>IF(COUNTIF(Overwash_Matrix!$C:$C,2014)=0,"",COUNTIFS(Overwash_Matrix!$C:$C,2014,Overwash_Matrix!BE:BE,1))</f>
        <v/>
      </c>
      <c r="AZ34" s="57" t="str">
        <f>IF(COUNTIF(Overwash_Matrix!$C:$C,2014)=0,"",COUNTIFS(Overwash_Matrix!$C:$C,2014,Overwash_Matrix!BF:BF,1))</f>
        <v/>
      </c>
      <c r="BA34" s="57" t="str">
        <f>IF(COUNTIF(Overwash_Matrix!$C:$C,2014)=0,"",COUNTIFS(Overwash_Matrix!$C:$C,2014,Overwash_Matrix!BG:BG,1))</f>
        <v/>
      </c>
      <c r="BB34" s="57" t="str">
        <f>IF(COUNTIF(Overwash_Matrix!$C:$C,2014)=0,"",COUNTIFS(Overwash_Matrix!$C:$C,2014,Overwash_Matrix!BH:BH,1))</f>
        <v/>
      </c>
      <c r="BC34" s="57" t="str">
        <f>IF(COUNTIF(Overwash_Matrix!$C:$C,2014)=0,"",COUNTIFS(Overwash_Matrix!$C:$C,2014,Overwash_Matrix!BI:BI,1))</f>
        <v/>
      </c>
      <c r="BD34" s="57" t="str">
        <f>IF(COUNTIF(Overwash_Matrix!$C:$C,2014)=0,"",COUNTIFS(Overwash_Matrix!$C:$C,2014,Overwash_Matrix!BJ:BJ,1))</f>
        <v/>
      </c>
      <c r="BE34" s="57" t="str">
        <f>IF(COUNTIF(Overwash_Matrix!$C:$C,2014)=0,"",COUNTIFS(Overwash_Matrix!$C:$C,2014,Overwash_Matrix!BK:BK,1))</f>
        <v/>
      </c>
      <c r="BF34" s="57" t="str">
        <f>IF(COUNTIF(Overwash_Matrix!$C:$C,2014)=0,"",COUNTIFS(Overwash_Matrix!$C:$C,2014,Overwash_Matrix!BL:BL,1))</f>
        <v/>
      </c>
      <c r="BG34" s="57" t="str">
        <f>IF(COUNTIF(Overwash_Matrix!$C:$C,2014)=0,"",COUNTIFS(Overwash_Matrix!$C:$C,2014,Overwash_Matrix!BM:BM,1))</f>
        <v/>
      </c>
      <c r="BH34" s="57" t="str">
        <f>IF(COUNTIF(Overwash_Matrix!$C:$C,2014)=0,"",COUNTIFS(Overwash_Matrix!$C:$C,2014,Overwash_Matrix!BN:BN,1))</f>
        <v/>
      </c>
      <c r="BI34" s="57" t="str">
        <f>IF(COUNTIF(Overwash_Matrix!$C:$C,2014)=0,"",COUNTIFS(Overwash_Matrix!$C:$C,2014,Overwash_Matrix!BO:BO,1))</f>
        <v/>
      </c>
      <c r="BJ34" s="57" t="str">
        <f>IF(COUNTIF(Overwash_Matrix!$C:$C,2014)=0,"",COUNTIFS(Overwash_Matrix!$C:$C,2014,Overwash_Matrix!BP:BP,1))</f>
        <v/>
      </c>
      <c r="BK34" s="57" t="str">
        <f>IF(COUNTIF(Overwash_Matrix!$C:$C,2014)=0,"",COUNTIFS(Overwash_Matrix!$C:$C,2014,Overwash_Matrix!BQ:BQ,1))</f>
        <v/>
      </c>
      <c r="BL34" s="57" t="str">
        <f>IF(COUNTIF(Overwash_Matrix!$C:$C,2014)=0,"",COUNTIFS(Overwash_Matrix!$C:$C,2014,Overwash_Matrix!BR:BR,1))</f>
        <v/>
      </c>
      <c r="BM34" s="57" t="str">
        <f>IF(COUNTIF(Overwash_Matrix!$C:$C,2014)=0,"",COUNTIFS(Overwash_Matrix!$C:$C,2014,Overwash_Matrix!BS:BS,1))</f>
        <v/>
      </c>
      <c r="BN34" s="57" t="str">
        <f>IF(COUNTIF(Overwash_Matrix!$C:$C,2014)=0,"",COUNTIFS(Overwash_Matrix!$C:$C,2014,Overwash_Matrix!BT:BT,1))</f>
        <v/>
      </c>
      <c r="BO34" s="57" t="str">
        <f>IF(COUNTIF(Overwash_Matrix!$C:$C,2014)=0,"",COUNTIFS(Overwash_Matrix!$C:$C,2014,Overwash_Matrix!BU:BU,1))</f>
        <v/>
      </c>
      <c r="BP34" s="57" t="str">
        <f>IF(COUNTIF(Overwash_Matrix!$C:$C,2014)=0,"",COUNTIFS(Overwash_Matrix!$C:$C,2014,Overwash_Matrix!BV:BV,1))</f>
        <v/>
      </c>
      <c r="BQ34" s="57" t="str">
        <f>IF(COUNTIF(Overwash_Matrix!$C:$C,2014)=0,"",COUNTIFS(Overwash_Matrix!$C:$C,2014,Overwash_Matrix!BW:BW,1))</f>
        <v/>
      </c>
      <c r="BR34" s="57" t="str">
        <f>IF(COUNTIF(Overwash_Matrix!$C:$C,2014)=0,"",COUNTIFS(Overwash_Matrix!$C:$C,2014,Overwash_Matrix!BX:BX,1))</f>
        <v/>
      </c>
      <c r="BS34" s="57" t="str">
        <f>IF(COUNTIF(Overwash_Matrix!$C:$C,2014)=0,"",COUNTIFS(Overwash_Matrix!$C:$C,2014,Overwash_Matrix!BY:BY,1))</f>
        <v/>
      </c>
      <c r="BT34" s="57" t="str">
        <f>IF(COUNTIF(Overwash_Matrix!$C:$C,2014)=0,"",COUNTIFS(Overwash_Matrix!$C:$C,2014,Overwash_Matrix!BZ:BZ,1))</f>
        <v/>
      </c>
      <c r="BU34" s="57" t="str">
        <f>IF(COUNTIF(Overwash_Matrix!$C:$C,2014)=0,"",COUNTIFS(Overwash_Matrix!$C:$C,2014,Overwash_Matrix!CA:CA,1))</f>
        <v/>
      </c>
      <c r="BV34" s="57" t="str">
        <f>IF(COUNTIF(Overwash_Matrix!$C:$C,2014)=0,"",COUNTIFS(Overwash_Matrix!$C:$C,2014,Overwash_Matrix!CB:CB,1))</f>
        <v/>
      </c>
      <c r="BW34" s="57" t="str">
        <f>IF(COUNTIF(Overwash_Matrix!$C:$C,2014)=0,"",COUNTIFS(Overwash_Matrix!$C:$C,2014,Overwash_Matrix!CC:CC,1))</f>
        <v/>
      </c>
      <c r="BX34" s="57" t="str">
        <f>IF(COUNTIF(Overwash_Matrix!$C:$C,2014)=0,"",COUNTIFS(Overwash_Matrix!$C:$C,2014,Overwash_Matrix!CD:CD,1))</f>
        <v/>
      </c>
      <c r="BY34" s="57" t="str">
        <f>IF(COUNTIF(Overwash_Matrix!$C:$C,2014)=0,"",COUNTIFS(Overwash_Matrix!$C:$C,2014,Overwash_Matrix!CE:CE,1))</f>
        <v/>
      </c>
      <c r="BZ34" s="57" t="str">
        <f>IF(COUNTIF(Overwash_Matrix!$C:$C,2014)=0,"",COUNTIFS(Overwash_Matrix!$C:$C,2014,Overwash_Matrix!CF:CF,1))</f>
        <v/>
      </c>
      <c r="CA34" s="57" t="str">
        <f>IF(COUNTIF(Overwash_Matrix!$C:$C,2014)=0,"",COUNTIFS(Overwash_Matrix!$C:$C,2014,Overwash_Matrix!CG:CG,1))</f>
        <v/>
      </c>
      <c r="CB34" s="57" t="str">
        <f>IF(COUNTIF(Overwash_Matrix!$C:$C,2014)=0,"",COUNTIFS(Overwash_Matrix!$C:$C,2014,Overwash_Matrix!CH:CH,1))</f>
        <v/>
      </c>
      <c r="CC34" s="57" t="str">
        <f>IF(COUNTIF(Overwash_Matrix!$C:$C,2014)=0,"",COUNTIFS(Overwash_Matrix!$C:$C,2014,Overwash_Matrix!CI:CI,1))</f>
        <v/>
      </c>
      <c r="CD34" s="57" t="str">
        <f>IF(COUNTIF(Overwash_Matrix!$C:$C,2014)=0,"",COUNTIFS(Overwash_Matrix!$C:$C,2014,Overwash_Matrix!CJ:CJ,1))</f>
        <v/>
      </c>
      <c r="CE34" s="57" t="str">
        <f>IF(COUNTIF(Overwash_Matrix!$C:$C,2014)=0,"",COUNTIFS(Overwash_Matrix!$C:$C,2014,Overwash_Matrix!CK:CK,1))</f>
        <v/>
      </c>
      <c r="CF34" s="57" t="str">
        <f>IF(COUNTIF(Overwash_Matrix!$C:$C,2014)=0,"",COUNTIFS(Overwash_Matrix!$C:$C,2014,Overwash_Matrix!CL:CL,1))</f>
        <v/>
      </c>
      <c r="CG34" s="57" t="str">
        <f>IF(COUNTIF(Overwash_Matrix!$C:$C,2014)=0,"",COUNTIFS(Overwash_Matrix!$C:$C,2014,Overwash_Matrix!CM:CM,1))</f>
        <v/>
      </c>
      <c r="CH34" s="57" t="str">
        <f>IF(COUNTIF(Overwash_Matrix!$C:$C,2014)=0,"",COUNTIFS(Overwash_Matrix!$C:$C,2014,Overwash_Matrix!CN:CN,1))</f>
        <v/>
      </c>
      <c r="CI34" s="57" t="str">
        <f>IF(COUNTIF(Overwash_Matrix!$C:$C,2014)=0,"",COUNTIFS(Overwash_Matrix!$C:$C,2014,Overwash_Matrix!CO:CO,1))</f>
        <v/>
      </c>
      <c r="CJ34" s="57" t="str">
        <f>IF(COUNTIF(Overwash_Matrix!$C:$C,2014)=0,"",COUNTIFS(Overwash_Matrix!$C:$C,2014,Overwash_Matrix!CP:CP,1))</f>
        <v/>
      </c>
      <c r="CK34" s="57" t="str">
        <f>IF(COUNTIF(Overwash_Matrix!$C:$C,2014)=0,"",COUNTIFS(Overwash_Matrix!$C:$C,2014,Overwash_Matrix!CQ:CQ,1))</f>
        <v/>
      </c>
      <c r="CL34" s="57" t="str">
        <f>IF(COUNTIF(Overwash_Matrix!$C:$C,2014)=0,"",COUNTIFS(Overwash_Matrix!$C:$C,2014,Overwash_Matrix!CR:CR,1))</f>
        <v/>
      </c>
      <c r="CM34" s="57" t="str">
        <f>IF(COUNTIF(Overwash_Matrix!$C:$C,2014)=0,"",COUNTIFS(Overwash_Matrix!$C:$C,2014,Overwash_Matrix!CS:CS,1))</f>
        <v/>
      </c>
      <c r="CN34" s="57" t="str">
        <f>IF(COUNTIF(Overwash_Matrix!$C:$C,2014)=0,"",COUNTIFS(Overwash_Matrix!$C:$C,2014,Overwash_Matrix!CT:CT,1))</f>
        <v/>
      </c>
    </row>
    <row r="35" ht="13.5" customHeight="1">
      <c r="A35" s="88">
        <v>2015.0</v>
      </c>
      <c r="B35" s="89">
        <f>COUNTIF(Overwash_Matrix!$C:$C,2015)</f>
        <v>0</v>
      </c>
      <c r="C35" s="53" t="str">
        <f>IF(COUNTIF(Overwash_Matrix!$C:$C,2015)=0,"",COUNTIFS(Overwash_Matrix!$C:$C,2015,Overwash_Matrix!I:I,1))</f>
        <v/>
      </c>
      <c r="D35" s="53" t="str">
        <f>IF(COUNTIF(Overwash_Matrix!$C:$C,2015)=0,"",COUNTIFS(Overwash_Matrix!$C:$C,2015,Overwash_Matrix!J:J,1))</f>
        <v/>
      </c>
      <c r="E35" s="53" t="str">
        <f>IF(COUNTIF(Overwash_Matrix!$C:$C,2015)=0,"",COUNTIFS(Overwash_Matrix!$C:$C,2015,Overwash_Matrix!K:K,1))</f>
        <v/>
      </c>
      <c r="F35" s="53" t="str">
        <f>IF(COUNTIF(Overwash_Matrix!$C:$C,2015)=0,"",COUNTIFS(Overwash_Matrix!$C:$C,2015,Overwash_Matrix!L:L,1))</f>
        <v/>
      </c>
      <c r="G35" s="53" t="str">
        <f>IF(COUNTIF(Overwash_Matrix!$C:$C,2015)=0,"",COUNTIFS(Overwash_Matrix!$C:$C,2015,Overwash_Matrix!M:M,1))</f>
        <v/>
      </c>
      <c r="H35" s="53" t="str">
        <f>IF(COUNTIF(Overwash_Matrix!$C:$C,2015)=0,"",COUNTIFS(Overwash_Matrix!$C:$C,2015,Overwash_Matrix!N:N,1))</f>
        <v/>
      </c>
      <c r="I35" s="53" t="str">
        <f>IF(COUNTIF(Overwash_Matrix!$C:$C,2015)=0,"",COUNTIFS(Overwash_Matrix!$C:$C,2015,Overwash_Matrix!O:O,1))</f>
        <v/>
      </c>
      <c r="J35" s="53" t="str">
        <f>IF(COUNTIF(Overwash_Matrix!$C:$C,2015)=0,"",COUNTIFS(Overwash_Matrix!$C:$C,2015,Overwash_Matrix!P:P,1))</f>
        <v/>
      </c>
      <c r="K35" s="53" t="str">
        <f>IF(COUNTIF(Overwash_Matrix!$C:$C,2015)=0,"",COUNTIFS(Overwash_Matrix!$C:$C,2015,Overwash_Matrix!Q:Q,1))</f>
        <v/>
      </c>
      <c r="L35" s="53" t="str">
        <f>IF(COUNTIF(Overwash_Matrix!$C:$C,2015)=0,"",COUNTIFS(Overwash_Matrix!$C:$C,2015,Overwash_Matrix!R:R,1))</f>
        <v/>
      </c>
      <c r="M35" s="53" t="str">
        <f>IF(COUNTIF(Overwash_Matrix!$C:$C,2015)=0,"",COUNTIFS(Overwash_Matrix!$C:$C,2015,Overwash_Matrix!S:S,1))</f>
        <v/>
      </c>
      <c r="N35" s="53" t="str">
        <f>IF(COUNTIF(Overwash_Matrix!$C:$C,2015)=0,"",COUNTIFS(Overwash_Matrix!$C:$C,2015,Overwash_Matrix!T:T,1))</f>
        <v/>
      </c>
      <c r="O35" s="53" t="str">
        <f>IF(COUNTIF(Overwash_Matrix!$C:$C,2015)=0,"",COUNTIFS(Overwash_Matrix!$C:$C,2015,Overwash_Matrix!U:U,1))</f>
        <v/>
      </c>
      <c r="P35" s="53" t="str">
        <f>IF(COUNTIF(Overwash_Matrix!$C:$C,2015)=0,"",COUNTIFS(Overwash_Matrix!$C:$C,2015,Overwash_Matrix!V:V,1))</f>
        <v/>
      </c>
      <c r="Q35" s="53" t="str">
        <f>IF(COUNTIF(Overwash_Matrix!$C:$C,2015)=0,"",COUNTIFS(Overwash_Matrix!$C:$C,2015,Overwash_Matrix!W:W,1))</f>
        <v/>
      </c>
      <c r="R35" s="53" t="str">
        <f>IF(COUNTIF(Overwash_Matrix!$C:$C,2015)=0,"",COUNTIFS(Overwash_Matrix!$C:$C,2015,Overwash_Matrix!X:X,1))</f>
        <v/>
      </c>
      <c r="S35" s="53" t="str">
        <f>IF(COUNTIF(Overwash_Matrix!$C:$C,2015)=0,"",COUNTIFS(Overwash_Matrix!$C:$C,2015,Overwash_Matrix!Y:Y,1))</f>
        <v/>
      </c>
      <c r="T35" s="53" t="str">
        <f>IF(COUNTIF(Overwash_Matrix!$C:$C,2015)=0,"",COUNTIFS(Overwash_Matrix!$C:$C,2015,Overwash_Matrix!Z:Z,1))</f>
        <v/>
      </c>
      <c r="U35" s="53" t="str">
        <f>IF(COUNTIF(Overwash_Matrix!$C:$C,2015)=0,"",COUNTIFS(Overwash_Matrix!$C:$C,2015,Overwash_Matrix!AA:AA,1))</f>
        <v/>
      </c>
      <c r="V35" s="53" t="str">
        <f>IF(COUNTIF(Overwash_Matrix!$C:$C,2015)=0,"",COUNTIFS(Overwash_Matrix!$C:$C,2015,Overwash_Matrix!AB:AB,1))</f>
        <v/>
      </c>
      <c r="W35" s="53" t="str">
        <f>IF(COUNTIF(Overwash_Matrix!$C:$C,2015)=0,"",COUNTIFS(Overwash_Matrix!$C:$C,2015,Overwash_Matrix!AC:AC,1))</f>
        <v/>
      </c>
      <c r="X35" s="53" t="str">
        <f>IF(COUNTIF(Overwash_Matrix!$C:$C,2015)=0,"",COUNTIFS(Overwash_Matrix!$C:$C,2015,Overwash_Matrix!AD:AD,1))</f>
        <v/>
      </c>
      <c r="Y35" s="53" t="str">
        <f>IF(COUNTIF(Overwash_Matrix!$C:$C,2015)=0,"",COUNTIFS(Overwash_Matrix!$C:$C,2015,Overwash_Matrix!AE:AE,1))</f>
        <v/>
      </c>
      <c r="Z35" s="53" t="str">
        <f>IF(COUNTIF(Overwash_Matrix!$C:$C,2015)=0,"",COUNTIFS(Overwash_Matrix!$C:$C,2015,Overwash_Matrix!AF:AF,1))</f>
        <v/>
      </c>
      <c r="AA35" s="53" t="str">
        <f>IF(COUNTIF(Overwash_Matrix!$C:$C,2015)=0,"",COUNTIFS(Overwash_Matrix!$C:$C,2015,Overwash_Matrix!AG:AG,1))</f>
        <v/>
      </c>
      <c r="AB35" s="53" t="str">
        <f>IF(COUNTIF(Overwash_Matrix!$C:$C,2015)=0,"",COUNTIFS(Overwash_Matrix!$C:$C,2015,Overwash_Matrix!AH:AH,1))</f>
        <v/>
      </c>
      <c r="AC35" s="53" t="str">
        <f>IF(COUNTIF(Overwash_Matrix!$C:$C,2015)=0,"",COUNTIFS(Overwash_Matrix!$C:$C,2015,Overwash_Matrix!AI:AI,1))</f>
        <v/>
      </c>
      <c r="AD35" s="53" t="str">
        <f>IF(COUNTIF(Overwash_Matrix!$C:$C,2015)=0,"",COUNTIFS(Overwash_Matrix!$C:$C,2015,Overwash_Matrix!AJ:AJ,1))</f>
        <v/>
      </c>
      <c r="AE35" s="53" t="str">
        <f>IF(COUNTIF(Overwash_Matrix!$C:$C,2015)=0,"",COUNTIFS(Overwash_Matrix!$C:$C,2015,Overwash_Matrix!AK:AK,1))</f>
        <v/>
      </c>
      <c r="AF35" s="53" t="str">
        <f>IF(COUNTIF(Overwash_Matrix!$C:$C,2015)=0,"",COUNTIFS(Overwash_Matrix!$C:$C,2015,Overwash_Matrix!AL:AL,1))</f>
        <v/>
      </c>
      <c r="AG35" s="53" t="str">
        <f>IF(COUNTIF(Overwash_Matrix!$C:$C,2015)=0,"",COUNTIFS(Overwash_Matrix!$C:$C,2015,Overwash_Matrix!AM:AM,1))</f>
        <v/>
      </c>
      <c r="AH35" s="53" t="str">
        <f>IF(COUNTIF(Overwash_Matrix!$C:$C,2015)=0,"",COUNTIFS(Overwash_Matrix!$C:$C,2015,Overwash_Matrix!AN:AN,1))</f>
        <v/>
      </c>
      <c r="AI35" s="53" t="str">
        <f>IF(COUNTIF(Overwash_Matrix!$C:$C,2015)=0,"",COUNTIFS(Overwash_Matrix!$C:$C,2015,Overwash_Matrix!AO:AO,1))</f>
        <v/>
      </c>
      <c r="AJ35" s="53" t="str">
        <f>IF(COUNTIF(Overwash_Matrix!$C:$C,2015)=0,"",COUNTIFS(Overwash_Matrix!$C:$C,2015,Overwash_Matrix!AP:AP,1))</f>
        <v/>
      </c>
      <c r="AK35" s="53" t="str">
        <f>IF(COUNTIF(Overwash_Matrix!$C:$C,2015)=0,"",COUNTIFS(Overwash_Matrix!$C:$C,2015,Overwash_Matrix!AQ:AQ,1))</f>
        <v/>
      </c>
      <c r="AL35" s="53" t="str">
        <f>IF(COUNTIF(Overwash_Matrix!$C:$C,2015)=0,"",COUNTIFS(Overwash_Matrix!$C:$C,2015,Overwash_Matrix!AR:AR,1))</f>
        <v/>
      </c>
      <c r="AM35" s="53" t="str">
        <f>IF(COUNTIF(Overwash_Matrix!$C:$C,2015)=0,"",COUNTIFS(Overwash_Matrix!$C:$C,2015,Overwash_Matrix!AS:AS,1))</f>
        <v/>
      </c>
      <c r="AN35" s="53" t="str">
        <f>IF(COUNTIF(Overwash_Matrix!$C:$C,2015)=0,"",COUNTIFS(Overwash_Matrix!$C:$C,2015,Overwash_Matrix!AT:AT,1))</f>
        <v/>
      </c>
      <c r="AO35" s="53" t="str">
        <f>IF(COUNTIF(Overwash_Matrix!$C:$C,2015)=0,"",COUNTIFS(Overwash_Matrix!$C:$C,2015,Overwash_Matrix!AU:AU,1))</f>
        <v/>
      </c>
      <c r="AP35" s="53" t="str">
        <f>IF(COUNTIF(Overwash_Matrix!$C:$C,2015)=0,"",COUNTIFS(Overwash_Matrix!$C:$C,2015,Overwash_Matrix!AV:AV,1))</f>
        <v/>
      </c>
      <c r="AQ35" s="53" t="str">
        <f>IF(COUNTIF(Overwash_Matrix!$C:$C,2015)=0,"",COUNTIFS(Overwash_Matrix!$C:$C,2015,Overwash_Matrix!AW:AW,1))</f>
        <v/>
      </c>
      <c r="AR35" s="53" t="str">
        <f>IF(COUNTIF(Overwash_Matrix!$C:$C,2015)=0,"",COUNTIFS(Overwash_Matrix!$C:$C,2015,Overwash_Matrix!AX:AX,1))</f>
        <v/>
      </c>
      <c r="AS35" s="53" t="str">
        <f>IF(COUNTIF(Overwash_Matrix!$C:$C,2015)=0,"",COUNTIFS(Overwash_Matrix!$C:$C,2015,Overwash_Matrix!AY:AY,1))</f>
        <v/>
      </c>
      <c r="AT35" s="53" t="str">
        <f>IF(COUNTIF(Overwash_Matrix!$C:$C,2015)=0,"",COUNTIFS(Overwash_Matrix!$C:$C,2015,Overwash_Matrix!AZ:AZ,1))</f>
        <v/>
      </c>
      <c r="AU35" s="53" t="str">
        <f>IF(COUNTIF(Overwash_Matrix!$C:$C,2015)=0,"",COUNTIFS(Overwash_Matrix!$C:$C,2015,Overwash_Matrix!BA:BA,1))</f>
        <v/>
      </c>
      <c r="AV35" s="53" t="str">
        <f>IF(COUNTIF(Overwash_Matrix!$C:$C,2015)=0,"",COUNTIFS(Overwash_Matrix!$C:$C,2015,Overwash_Matrix!BB:BB,1))</f>
        <v/>
      </c>
      <c r="AW35" s="53" t="str">
        <f>IF(COUNTIF(Overwash_Matrix!$C:$C,2015)=0,"",COUNTIFS(Overwash_Matrix!$C:$C,2015,Overwash_Matrix!BC:BC,1))</f>
        <v/>
      </c>
      <c r="AX35" s="53" t="str">
        <f>IF(COUNTIF(Overwash_Matrix!$C:$C,2015)=0,"",COUNTIFS(Overwash_Matrix!$C:$C,2015,Overwash_Matrix!BD:BD,1))</f>
        <v/>
      </c>
      <c r="AY35" s="53" t="str">
        <f>IF(COUNTIF(Overwash_Matrix!$C:$C,2015)=0,"",COUNTIFS(Overwash_Matrix!$C:$C,2015,Overwash_Matrix!BE:BE,1))</f>
        <v/>
      </c>
      <c r="AZ35" s="53" t="str">
        <f>IF(COUNTIF(Overwash_Matrix!$C:$C,2015)=0,"",COUNTIFS(Overwash_Matrix!$C:$C,2015,Overwash_Matrix!BF:BF,1))</f>
        <v/>
      </c>
      <c r="BA35" s="53" t="str">
        <f>IF(COUNTIF(Overwash_Matrix!$C:$C,2015)=0,"",COUNTIFS(Overwash_Matrix!$C:$C,2015,Overwash_Matrix!BG:BG,1))</f>
        <v/>
      </c>
      <c r="BB35" s="53" t="str">
        <f>IF(COUNTIF(Overwash_Matrix!$C:$C,2015)=0,"",COUNTIFS(Overwash_Matrix!$C:$C,2015,Overwash_Matrix!BH:BH,1))</f>
        <v/>
      </c>
      <c r="BC35" s="53" t="str">
        <f>IF(COUNTIF(Overwash_Matrix!$C:$C,2015)=0,"",COUNTIFS(Overwash_Matrix!$C:$C,2015,Overwash_Matrix!BI:BI,1))</f>
        <v/>
      </c>
      <c r="BD35" s="53" t="str">
        <f>IF(COUNTIF(Overwash_Matrix!$C:$C,2015)=0,"",COUNTIFS(Overwash_Matrix!$C:$C,2015,Overwash_Matrix!BJ:BJ,1))</f>
        <v/>
      </c>
      <c r="BE35" s="53" t="str">
        <f>IF(COUNTIF(Overwash_Matrix!$C:$C,2015)=0,"",COUNTIFS(Overwash_Matrix!$C:$C,2015,Overwash_Matrix!BK:BK,1))</f>
        <v/>
      </c>
      <c r="BF35" s="53" t="str">
        <f>IF(COUNTIF(Overwash_Matrix!$C:$C,2015)=0,"",COUNTIFS(Overwash_Matrix!$C:$C,2015,Overwash_Matrix!BL:BL,1))</f>
        <v/>
      </c>
      <c r="BG35" s="53" t="str">
        <f>IF(COUNTIF(Overwash_Matrix!$C:$C,2015)=0,"",COUNTIFS(Overwash_Matrix!$C:$C,2015,Overwash_Matrix!BM:BM,1))</f>
        <v/>
      </c>
      <c r="BH35" s="53" t="str">
        <f>IF(COUNTIF(Overwash_Matrix!$C:$C,2015)=0,"",COUNTIFS(Overwash_Matrix!$C:$C,2015,Overwash_Matrix!BN:BN,1))</f>
        <v/>
      </c>
      <c r="BI35" s="53" t="str">
        <f>IF(COUNTIF(Overwash_Matrix!$C:$C,2015)=0,"",COUNTIFS(Overwash_Matrix!$C:$C,2015,Overwash_Matrix!BO:BO,1))</f>
        <v/>
      </c>
      <c r="BJ35" s="53" t="str">
        <f>IF(COUNTIF(Overwash_Matrix!$C:$C,2015)=0,"",COUNTIFS(Overwash_Matrix!$C:$C,2015,Overwash_Matrix!BP:BP,1))</f>
        <v/>
      </c>
      <c r="BK35" s="53" t="str">
        <f>IF(COUNTIF(Overwash_Matrix!$C:$C,2015)=0,"",COUNTIFS(Overwash_Matrix!$C:$C,2015,Overwash_Matrix!BQ:BQ,1))</f>
        <v/>
      </c>
      <c r="BL35" s="53" t="str">
        <f>IF(COUNTIF(Overwash_Matrix!$C:$C,2015)=0,"",COUNTIFS(Overwash_Matrix!$C:$C,2015,Overwash_Matrix!BR:BR,1))</f>
        <v/>
      </c>
      <c r="BM35" s="53" t="str">
        <f>IF(COUNTIF(Overwash_Matrix!$C:$C,2015)=0,"",COUNTIFS(Overwash_Matrix!$C:$C,2015,Overwash_Matrix!BS:BS,1))</f>
        <v/>
      </c>
      <c r="BN35" s="53" t="str">
        <f>IF(COUNTIF(Overwash_Matrix!$C:$C,2015)=0,"",COUNTIFS(Overwash_Matrix!$C:$C,2015,Overwash_Matrix!BT:BT,1))</f>
        <v/>
      </c>
      <c r="BO35" s="53" t="str">
        <f>IF(COUNTIF(Overwash_Matrix!$C:$C,2015)=0,"",COUNTIFS(Overwash_Matrix!$C:$C,2015,Overwash_Matrix!BU:BU,1))</f>
        <v/>
      </c>
      <c r="BP35" s="53" t="str">
        <f>IF(COUNTIF(Overwash_Matrix!$C:$C,2015)=0,"",COUNTIFS(Overwash_Matrix!$C:$C,2015,Overwash_Matrix!BV:BV,1))</f>
        <v/>
      </c>
      <c r="BQ35" s="53" t="str">
        <f>IF(COUNTIF(Overwash_Matrix!$C:$C,2015)=0,"",COUNTIFS(Overwash_Matrix!$C:$C,2015,Overwash_Matrix!BW:BW,1))</f>
        <v/>
      </c>
      <c r="BR35" s="53" t="str">
        <f>IF(COUNTIF(Overwash_Matrix!$C:$C,2015)=0,"",COUNTIFS(Overwash_Matrix!$C:$C,2015,Overwash_Matrix!BX:BX,1))</f>
        <v/>
      </c>
      <c r="BS35" s="53" t="str">
        <f>IF(COUNTIF(Overwash_Matrix!$C:$C,2015)=0,"",COUNTIFS(Overwash_Matrix!$C:$C,2015,Overwash_Matrix!BY:BY,1))</f>
        <v/>
      </c>
      <c r="BT35" s="53" t="str">
        <f>IF(COUNTIF(Overwash_Matrix!$C:$C,2015)=0,"",COUNTIFS(Overwash_Matrix!$C:$C,2015,Overwash_Matrix!BZ:BZ,1))</f>
        <v/>
      </c>
      <c r="BU35" s="53" t="str">
        <f>IF(COUNTIF(Overwash_Matrix!$C:$C,2015)=0,"",COUNTIFS(Overwash_Matrix!$C:$C,2015,Overwash_Matrix!CA:CA,1))</f>
        <v/>
      </c>
      <c r="BV35" s="53" t="str">
        <f>IF(COUNTIF(Overwash_Matrix!$C:$C,2015)=0,"",COUNTIFS(Overwash_Matrix!$C:$C,2015,Overwash_Matrix!CB:CB,1))</f>
        <v/>
      </c>
      <c r="BW35" s="53" t="str">
        <f>IF(COUNTIF(Overwash_Matrix!$C:$C,2015)=0,"",COUNTIFS(Overwash_Matrix!$C:$C,2015,Overwash_Matrix!CC:CC,1))</f>
        <v/>
      </c>
      <c r="BX35" s="53" t="str">
        <f>IF(COUNTIF(Overwash_Matrix!$C:$C,2015)=0,"",COUNTIFS(Overwash_Matrix!$C:$C,2015,Overwash_Matrix!CD:CD,1))</f>
        <v/>
      </c>
      <c r="BY35" s="53" t="str">
        <f>IF(COUNTIF(Overwash_Matrix!$C:$C,2015)=0,"",COUNTIFS(Overwash_Matrix!$C:$C,2015,Overwash_Matrix!CE:CE,1))</f>
        <v/>
      </c>
      <c r="BZ35" s="53" t="str">
        <f>IF(COUNTIF(Overwash_Matrix!$C:$C,2015)=0,"",COUNTIFS(Overwash_Matrix!$C:$C,2015,Overwash_Matrix!CF:CF,1))</f>
        <v/>
      </c>
      <c r="CA35" s="53" t="str">
        <f>IF(COUNTIF(Overwash_Matrix!$C:$C,2015)=0,"",COUNTIFS(Overwash_Matrix!$C:$C,2015,Overwash_Matrix!CG:CG,1))</f>
        <v/>
      </c>
      <c r="CB35" s="53" t="str">
        <f>IF(COUNTIF(Overwash_Matrix!$C:$C,2015)=0,"",COUNTIFS(Overwash_Matrix!$C:$C,2015,Overwash_Matrix!CH:CH,1))</f>
        <v/>
      </c>
      <c r="CC35" s="53" t="str">
        <f>IF(COUNTIF(Overwash_Matrix!$C:$C,2015)=0,"",COUNTIFS(Overwash_Matrix!$C:$C,2015,Overwash_Matrix!CI:CI,1))</f>
        <v/>
      </c>
      <c r="CD35" s="53" t="str">
        <f>IF(COUNTIF(Overwash_Matrix!$C:$C,2015)=0,"",COUNTIFS(Overwash_Matrix!$C:$C,2015,Overwash_Matrix!CJ:CJ,1))</f>
        <v/>
      </c>
      <c r="CE35" s="53" t="str">
        <f>IF(COUNTIF(Overwash_Matrix!$C:$C,2015)=0,"",COUNTIFS(Overwash_Matrix!$C:$C,2015,Overwash_Matrix!CK:CK,1))</f>
        <v/>
      </c>
      <c r="CF35" s="53" t="str">
        <f>IF(COUNTIF(Overwash_Matrix!$C:$C,2015)=0,"",COUNTIFS(Overwash_Matrix!$C:$C,2015,Overwash_Matrix!CL:CL,1))</f>
        <v/>
      </c>
      <c r="CG35" s="53" t="str">
        <f>IF(COUNTIF(Overwash_Matrix!$C:$C,2015)=0,"",COUNTIFS(Overwash_Matrix!$C:$C,2015,Overwash_Matrix!CM:CM,1))</f>
        <v/>
      </c>
      <c r="CH35" s="53" t="str">
        <f>IF(COUNTIF(Overwash_Matrix!$C:$C,2015)=0,"",COUNTIFS(Overwash_Matrix!$C:$C,2015,Overwash_Matrix!CN:CN,1))</f>
        <v/>
      </c>
      <c r="CI35" s="53" t="str">
        <f>IF(COUNTIF(Overwash_Matrix!$C:$C,2015)=0,"",COUNTIFS(Overwash_Matrix!$C:$C,2015,Overwash_Matrix!CO:CO,1))</f>
        <v/>
      </c>
      <c r="CJ35" s="53" t="str">
        <f>IF(COUNTIF(Overwash_Matrix!$C:$C,2015)=0,"",COUNTIFS(Overwash_Matrix!$C:$C,2015,Overwash_Matrix!CP:CP,1))</f>
        <v/>
      </c>
      <c r="CK35" s="53" t="str">
        <f>IF(COUNTIF(Overwash_Matrix!$C:$C,2015)=0,"",COUNTIFS(Overwash_Matrix!$C:$C,2015,Overwash_Matrix!CQ:CQ,1))</f>
        <v/>
      </c>
      <c r="CL35" s="53" t="str">
        <f>IF(COUNTIF(Overwash_Matrix!$C:$C,2015)=0,"",COUNTIFS(Overwash_Matrix!$C:$C,2015,Overwash_Matrix!CR:CR,1))</f>
        <v/>
      </c>
      <c r="CM35" s="53" t="str">
        <f>IF(COUNTIF(Overwash_Matrix!$C:$C,2015)=0,"",COUNTIFS(Overwash_Matrix!$C:$C,2015,Overwash_Matrix!CS:CS,1))</f>
        <v/>
      </c>
      <c r="CN35" s="53" t="str">
        <f>IF(COUNTIF(Overwash_Matrix!$C:$C,2015)=0,"",COUNTIFS(Overwash_Matrix!$C:$C,2015,Overwash_Matrix!CT:CT,1))</f>
        <v/>
      </c>
    </row>
    <row r="36" ht="13.5" customHeight="1">
      <c r="A36" s="86">
        <v>2016.0</v>
      </c>
      <c r="B36" s="87">
        <f>COUNTIF(Overwash_Matrix!$C:$C,2016)</f>
        <v>0</v>
      </c>
      <c r="C36" s="57" t="str">
        <f>IF(COUNTIF(Overwash_Matrix!$C:$C,2016)=0,"",COUNTIFS(Overwash_Matrix!$C:$C,2016,Overwash_Matrix!I:I,1))</f>
        <v/>
      </c>
      <c r="D36" s="57" t="str">
        <f>IF(COUNTIF(Overwash_Matrix!$C:$C,2016)=0,"",COUNTIFS(Overwash_Matrix!$C:$C,2016,Overwash_Matrix!J:J,1))</f>
        <v/>
      </c>
      <c r="E36" s="57" t="str">
        <f>IF(COUNTIF(Overwash_Matrix!$C:$C,2016)=0,"",COUNTIFS(Overwash_Matrix!$C:$C,2016,Overwash_Matrix!K:K,1))</f>
        <v/>
      </c>
      <c r="F36" s="57" t="str">
        <f>IF(COUNTIF(Overwash_Matrix!$C:$C,2016)=0,"",COUNTIFS(Overwash_Matrix!$C:$C,2016,Overwash_Matrix!L:L,1))</f>
        <v/>
      </c>
      <c r="G36" s="57" t="str">
        <f>IF(COUNTIF(Overwash_Matrix!$C:$C,2016)=0,"",COUNTIFS(Overwash_Matrix!$C:$C,2016,Overwash_Matrix!M:M,1))</f>
        <v/>
      </c>
      <c r="H36" s="57" t="str">
        <f>IF(COUNTIF(Overwash_Matrix!$C:$C,2016)=0,"",COUNTIFS(Overwash_Matrix!$C:$C,2016,Overwash_Matrix!N:N,1))</f>
        <v/>
      </c>
      <c r="I36" s="57" t="str">
        <f>IF(COUNTIF(Overwash_Matrix!$C:$C,2016)=0,"",COUNTIFS(Overwash_Matrix!$C:$C,2016,Overwash_Matrix!O:O,1))</f>
        <v/>
      </c>
      <c r="J36" s="57" t="str">
        <f>IF(COUNTIF(Overwash_Matrix!$C:$C,2016)=0,"",COUNTIFS(Overwash_Matrix!$C:$C,2016,Overwash_Matrix!P:P,1))</f>
        <v/>
      </c>
      <c r="K36" s="57" t="str">
        <f>IF(COUNTIF(Overwash_Matrix!$C:$C,2016)=0,"",COUNTIFS(Overwash_Matrix!$C:$C,2016,Overwash_Matrix!Q:Q,1))</f>
        <v/>
      </c>
      <c r="L36" s="57" t="str">
        <f>IF(COUNTIF(Overwash_Matrix!$C:$C,2016)=0,"",COUNTIFS(Overwash_Matrix!$C:$C,2016,Overwash_Matrix!R:R,1))</f>
        <v/>
      </c>
      <c r="M36" s="57" t="str">
        <f>IF(COUNTIF(Overwash_Matrix!$C:$C,2016)=0,"",COUNTIFS(Overwash_Matrix!$C:$C,2016,Overwash_Matrix!S:S,1))</f>
        <v/>
      </c>
      <c r="N36" s="57" t="str">
        <f>IF(COUNTIF(Overwash_Matrix!$C:$C,2016)=0,"",COUNTIFS(Overwash_Matrix!$C:$C,2016,Overwash_Matrix!T:T,1))</f>
        <v/>
      </c>
      <c r="O36" s="57" t="str">
        <f>IF(COUNTIF(Overwash_Matrix!$C:$C,2016)=0,"",COUNTIFS(Overwash_Matrix!$C:$C,2016,Overwash_Matrix!U:U,1))</f>
        <v/>
      </c>
      <c r="P36" s="57" t="str">
        <f>IF(COUNTIF(Overwash_Matrix!$C:$C,2016)=0,"",COUNTIFS(Overwash_Matrix!$C:$C,2016,Overwash_Matrix!V:V,1))</f>
        <v/>
      </c>
      <c r="Q36" s="57" t="str">
        <f>IF(COUNTIF(Overwash_Matrix!$C:$C,2016)=0,"",COUNTIFS(Overwash_Matrix!$C:$C,2016,Overwash_Matrix!W:W,1))</f>
        <v/>
      </c>
      <c r="R36" s="57" t="str">
        <f>IF(COUNTIF(Overwash_Matrix!$C:$C,2016)=0,"",COUNTIFS(Overwash_Matrix!$C:$C,2016,Overwash_Matrix!X:X,1))</f>
        <v/>
      </c>
      <c r="S36" s="57" t="str">
        <f>IF(COUNTIF(Overwash_Matrix!$C:$C,2016)=0,"",COUNTIFS(Overwash_Matrix!$C:$C,2016,Overwash_Matrix!Y:Y,1))</f>
        <v/>
      </c>
      <c r="T36" s="57" t="str">
        <f>IF(COUNTIF(Overwash_Matrix!$C:$C,2016)=0,"",COUNTIFS(Overwash_Matrix!$C:$C,2016,Overwash_Matrix!Z:Z,1))</f>
        <v/>
      </c>
      <c r="U36" s="57" t="str">
        <f>IF(COUNTIF(Overwash_Matrix!$C:$C,2016)=0,"",COUNTIFS(Overwash_Matrix!$C:$C,2016,Overwash_Matrix!AA:AA,1))</f>
        <v/>
      </c>
      <c r="V36" s="57" t="str">
        <f>IF(COUNTIF(Overwash_Matrix!$C:$C,2016)=0,"",COUNTIFS(Overwash_Matrix!$C:$C,2016,Overwash_Matrix!AB:AB,1))</f>
        <v/>
      </c>
      <c r="W36" s="57" t="str">
        <f>IF(COUNTIF(Overwash_Matrix!$C:$C,2016)=0,"",COUNTIFS(Overwash_Matrix!$C:$C,2016,Overwash_Matrix!AC:AC,1))</f>
        <v/>
      </c>
      <c r="X36" s="57" t="str">
        <f>IF(COUNTIF(Overwash_Matrix!$C:$C,2016)=0,"",COUNTIFS(Overwash_Matrix!$C:$C,2016,Overwash_Matrix!AD:AD,1))</f>
        <v/>
      </c>
      <c r="Y36" s="57" t="str">
        <f>IF(COUNTIF(Overwash_Matrix!$C:$C,2016)=0,"",COUNTIFS(Overwash_Matrix!$C:$C,2016,Overwash_Matrix!AE:AE,1))</f>
        <v/>
      </c>
      <c r="Z36" s="57" t="str">
        <f>IF(COUNTIF(Overwash_Matrix!$C:$C,2016)=0,"",COUNTIFS(Overwash_Matrix!$C:$C,2016,Overwash_Matrix!AF:AF,1))</f>
        <v/>
      </c>
      <c r="AA36" s="57" t="str">
        <f>IF(COUNTIF(Overwash_Matrix!$C:$C,2016)=0,"",COUNTIFS(Overwash_Matrix!$C:$C,2016,Overwash_Matrix!AG:AG,1))</f>
        <v/>
      </c>
      <c r="AB36" s="57" t="str">
        <f>IF(COUNTIF(Overwash_Matrix!$C:$C,2016)=0,"",COUNTIFS(Overwash_Matrix!$C:$C,2016,Overwash_Matrix!AH:AH,1))</f>
        <v/>
      </c>
      <c r="AC36" s="57" t="str">
        <f>IF(COUNTIF(Overwash_Matrix!$C:$C,2016)=0,"",COUNTIFS(Overwash_Matrix!$C:$C,2016,Overwash_Matrix!AI:AI,1))</f>
        <v/>
      </c>
      <c r="AD36" s="57" t="str">
        <f>IF(COUNTIF(Overwash_Matrix!$C:$C,2016)=0,"",COUNTIFS(Overwash_Matrix!$C:$C,2016,Overwash_Matrix!AJ:AJ,1))</f>
        <v/>
      </c>
      <c r="AE36" s="57" t="str">
        <f>IF(COUNTIF(Overwash_Matrix!$C:$C,2016)=0,"",COUNTIFS(Overwash_Matrix!$C:$C,2016,Overwash_Matrix!AK:AK,1))</f>
        <v/>
      </c>
      <c r="AF36" s="57" t="str">
        <f>IF(COUNTIF(Overwash_Matrix!$C:$C,2016)=0,"",COUNTIFS(Overwash_Matrix!$C:$C,2016,Overwash_Matrix!AL:AL,1))</f>
        <v/>
      </c>
      <c r="AG36" s="57" t="str">
        <f>IF(COUNTIF(Overwash_Matrix!$C:$C,2016)=0,"",COUNTIFS(Overwash_Matrix!$C:$C,2016,Overwash_Matrix!AM:AM,1))</f>
        <v/>
      </c>
      <c r="AH36" s="57" t="str">
        <f>IF(COUNTIF(Overwash_Matrix!$C:$C,2016)=0,"",COUNTIFS(Overwash_Matrix!$C:$C,2016,Overwash_Matrix!AN:AN,1))</f>
        <v/>
      </c>
      <c r="AI36" s="57" t="str">
        <f>IF(COUNTIF(Overwash_Matrix!$C:$C,2016)=0,"",COUNTIFS(Overwash_Matrix!$C:$C,2016,Overwash_Matrix!AO:AO,1))</f>
        <v/>
      </c>
      <c r="AJ36" s="57" t="str">
        <f>IF(COUNTIF(Overwash_Matrix!$C:$C,2016)=0,"",COUNTIFS(Overwash_Matrix!$C:$C,2016,Overwash_Matrix!AP:AP,1))</f>
        <v/>
      </c>
      <c r="AK36" s="57" t="str">
        <f>IF(COUNTIF(Overwash_Matrix!$C:$C,2016)=0,"",COUNTIFS(Overwash_Matrix!$C:$C,2016,Overwash_Matrix!AQ:AQ,1))</f>
        <v/>
      </c>
      <c r="AL36" s="57" t="str">
        <f>IF(COUNTIF(Overwash_Matrix!$C:$C,2016)=0,"",COUNTIFS(Overwash_Matrix!$C:$C,2016,Overwash_Matrix!AR:AR,1))</f>
        <v/>
      </c>
      <c r="AM36" s="57" t="str">
        <f>IF(COUNTIF(Overwash_Matrix!$C:$C,2016)=0,"",COUNTIFS(Overwash_Matrix!$C:$C,2016,Overwash_Matrix!AS:AS,1))</f>
        <v/>
      </c>
      <c r="AN36" s="57" t="str">
        <f>IF(COUNTIF(Overwash_Matrix!$C:$C,2016)=0,"",COUNTIFS(Overwash_Matrix!$C:$C,2016,Overwash_Matrix!AT:AT,1))</f>
        <v/>
      </c>
      <c r="AO36" s="57" t="str">
        <f>IF(COUNTIF(Overwash_Matrix!$C:$C,2016)=0,"",COUNTIFS(Overwash_Matrix!$C:$C,2016,Overwash_Matrix!AU:AU,1))</f>
        <v/>
      </c>
      <c r="AP36" s="57" t="str">
        <f>IF(COUNTIF(Overwash_Matrix!$C:$C,2016)=0,"",COUNTIFS(Overwash_Matrix!$C:$C,2016,Overwash_Matrix!AV:AV,1))</f>
        <v/>
      </c>
      <c r="AQ36" s="57" t="str">
        <f>IF(COUNTIF(Overwash_Matrix!$C:$C,2016)=0,"",COUNTIFS(Overwash_Matrix!$C:$C,2016,Overwash_Matrix!AW:AW,1))</f>
        <v/>
      </c>
      <c r="AR36" s="57" t="str">
        <f>IF(COUNTIF(Overwash_Matrix!$C:$C,2016)=0,"",COUNTIFS(Overwash_Matrix!$C:$C,2016,Overwash_Matrix!AX:AX,1))</f>
        <v/>
      </c>
      <c r="AS36" s="57" t="str">
        <f>IF(COUNTIF(Overwash_Matrix!$C:$C,2016)=0,"",COUNTIFS(Overwash_Matrix!$C:$C,2016,Overwash_Matrix!AY:AY,1))</f>
        <v/>
      </c>
      <c r="AT36" s="57" t="str">
        <f>IF(COUNTIF(Overwash_Matrix!$C:$C,2016)=0,"",COUNTIFS(Overwash_Matrix!$C:$C,2016,Overwash_Matrix!AZ:AZ,1))</f>
        <v/>
      </c>
      <c r="AU36" s="57" t="str">
        <f>IF(COUNTIF(Overwash_Matrix!$C:$C,2016)=0,"",COUNTIFS(Overwash_Matrix!$C:$C,2016,Overwash_Matrix!BA:BA,1))</f>
        <v/>
      </c>
      <c r="AV36" s="57" t="str">
        <f>IF(COUNTIF(Overwash_Matrix!$C:$C,2016)=0,"",COUNTIFS(Overwash_Matrix!$C:$C,2016,Overwash_Matrix!BB:BB,1))</f>
        <v/>
      </c>
      <c r="AW36" s="57" t="str">
        <f>IF(COUNTIF(Overwash_Matrix!$C:$C,2016)=0,"",COUNTIFS(Overwash_Matrix!$C:$C,2016,Overwash_Matrix!BC:BC,1))</f>
        <v/>
      </c>
      <c r="AX36" s="57" t="str">
        <f>IF(COUNTIF(Overwash_Matrix!$C:$C,2016)=0,"",COUNTIFS(Overwash_Matrix!$C:$C,2016,Overwash_Matrix!BD:BD,1))</f>
        <v/>
      </c>
      <c r="AY36" s="57" t="str">
        <f>IF(COUNTIF(Overwash_Matrix!$C:$C,2016)=0,"",COUNTIFS(Overwash_Matrix!$C:$C,2016,Overwash_Matrix!BE:BE,1))</f>
        <v/>
      </c>
      <c r="AZ36" s="57" t="str">
        <f>IF(COUNTIF(Overwash_Matrix!$C:$C,2016)=0,"",COUNTIFS(Overwash_Matrix!$C:$C,2016,Overwash_Matrix!BF:BF,1))</f>
        <v/>
      </c>
      <c r="BA36" s="57" t="str">
        <f>IF(COUNTIF(Overwash_Matrix!$C:$C,2016)=0,"",COUNTIFS(Overwash_Matrix!$C:$C,2016,Overwash_Matrix!BG:BG,1))</f>
        <v/>
      </c>
      <c r="BB36" s="57" t="str">
        <f>IF(COUNTIF(Overwash_Matrix!$C:$C,2016)=0,"",COUNTIFS(Overwash_Matrix!$C:$C,2016,Overwash_Matrix!BH:BH,1))</f>
        <v/>
      </c>
      <c r="BC36" s="57" t="str">
        <f>IF(COUNTIF(Overwash_Matrix!$C:$C,2016)=0,"",COUNTIFS(Overwash_Matrix!$C:$C,2016,Overwash_Matrix!BI:BI,1))</f>
        <v/>
      </c>
      <c r="BD36" s="57" t="str">
        <f>IF(COUNTIF(Overwash_Matrix!$C:$C,2016)=0,"",COUNTIFS(Overwash_Matrix!$C:$C,2016,Overwash_Matrix!BJ:BJ,1))</f>
        <v/>
      </c>
      <c r="BE36" s="57" t="str">
        <f>IF(COUNTIF(Overwash_Matrix!$C:$C,2016)=0,"",COUNTIFS(Overwash_Matrix!$C:$C,2016,Overwash_Matrix!BK:BK,1))</f>
        <v/>
      </c>
      <c r="BF36" s="57" t="str">
        <f>IF(COUNTIF(Overwash_Matrix!$C:$C,2016)=0,"",COUNTIFS(Overwash_Matrix!$C:$C,2016,Overwash_Matrix!BL:BL,1))</f>
        <v/>
      </c>
      <c r="BG36" s="57" t="str">
        <f>IF(COUNTIF(Overwash_Matrix!$C:$C,2016)=0,"",COUNTIFS(Overwash_Matrix!$C:$C,2016,Overwash_Matrix!BM:BM,1))</f>
        <v/>
      </c>
      <c r="BH36" s="57" t="str">
        <f>IF(COUNTIF(Overwash_Matrix!$C:$C,2016)=0,"",COUNTIFS(Overwash_Matrix!$C:$C,2016,Overwash_Matrix!BN:BN,1))</f>
        <v/>
      </c>
      <c r="BI36" s="57" t="str">
        <f>IF(COUNTIF(Overwash_Matrix!$C:$C,2016)=0,"",COUNTIFS(Overwash_Matrix!$C:$C,2016,Overwash_Matrix!BO:BO,1))</f>
        <v/>
      </c>
      <c r="BJ36" s="57" t="str">
        <f>IF(COUNTIF(Overwash_Matrix!$C:$C,2016)=0,"",COUNTIFS(Overwash_Matrix!$C:$C,2016,Overwash_Matrix!BP:BP,1))</f>
        <v/>
      </c>
      <c r="BK36" s="57" t="str">
        <f>IF(COUNTIF(Overwash_Matrix!$C:$C,2016)=0,"",COUNTIFS(Overwash_Matrix!$C:$C,2016,Overwash_Matrix!BQ:BQ,1))</f>
        <v/>
      </c>
      <c r="BL36" s="57" t="str">
        <f>IF(COUNTIF(Overwash_Matrix!$C:$C,2016)=0,"",COUNTIFS(Overwash_Matrix!$C:$C,2016,Overwash_Matrix!BR:BR,1))</f>
        <v/>
      </c>
      <c r="BM36" s="57" t="str">
        <f>IF(COUNTIF(Overwash_Matrix!$C:$C,2016)=0,"",COUNTIFS(Overwash_Matrix!$C:$C,2016,Overwash_Matrix!BS:BS,1))</f>
        <v/>
      </c>
      <c r="BN36" s="57" t="str">
        <f>IF(COUNTIF(Overwash_Matrix!$C:$C,2016)=0,"",COUNTIFS(Overwash_Matrix!$C:$C,2016,Overwash_Matrix!BT:BT,1))</f>
        <v/>
      </c>
      <c r="BO36" s="57" t="str">
        <f>IF(COUNTIF(Overwash_Matrix!$C:$C,2016)=0,"",COUNTIFS(Overwash_Matrix!$C:$C,2016,Overwash_Matrix!BU:BU,1))</f>
        <v/>
      </c>
      <c r="BP36" s="57" t="str">
        <f>IF(COUNTIF(Overwash_Matrix!$C:$C,2016)=0,"",COUNTIFS(Overwash_Matrix!$C:$C,2016,Overwash_Matrix!BV:BV,1))</f>
        <v/>
      </c>
      <c r="BQ36" s="57" t="str">
        <f>IF(COUNTIF(Overwash_Matrix!$C:$C,2016)=0,"",COUNTIFS(Overwash_Matrix!$C:$C,2016,Overwash_Matrix!BW:BW,1))</f>
        <v/>
      </c>
      <c r="BR36" s="57" t="str">
        <f>IF(COUNTIF(Overwash_Matrix!$C:$C,2016)=0,"",COUNTIFS(Overwash_Matrix!$C:$C,2016,Overwash_Matrix!BX:BX,1))</f>
        <v/>
      </c>
      <c r="BS36" s="57" t="str">
        <f>IF(COUNTIF(Overwash_Matrix!$C:$C,2016)=0,"",COUNTIFS(Overwash_Matrix!$C:$C,2016,Overwash_Matrix!BY:BY,1))</f>
        <v/>
      </c>
      <c r="BT36" s="57" t="str">
        <f>IF(COUNTIF(Overwash_Matrix!$C:$C,2016)=0,"",COUNTIFS(Overwash_Matrix!$C:$C,2016,Overwash_Matrix!BZ:BZ,1))</f>
        <v/>
      </c>
      <c r="BU36" s="57" t="str">
        <f>IF(COUNTIF(Overwash_Matrix!$C:$C,2016)=0,"",COUNTIFS(Overwash_Matrix!$C:$C,2016,Overwash_Matrix!CA:CA,1))</f>
        <v/>
      </c>
      <c r="BV36" s="57" t="str">
        <f>IF(COUNTIF(Overwash_Matrix!$C:$C,2016)=0,"",COUNTIFS(Overwash_Matrix!$C:$C,2016,Overwash_Matrix!CB:CB,1))</f>
        <v/>
      </c>
      <c r="BW36" s="57" t="str">
        <f>IF(COUNTIF(Overwash_Matrix!$C:$C,2016)=0,"",COUNTIFS(Overwash_Matrix!$C:$C,2016,Overwash_Matrix!CC:CC,1))</f>
        <v/>
      </c>
      <c r="BX36" s="57" t="str">
        <f>IF(COUNTIF(Overwash_Matrix!$C:$C,2016)=0,"",COUNTIFS(Overwash_Matrix!$C:$C,2016,Overwash_Matrix!CD:CD,1))</f>
        <v/>
      </c>
      <c r="BY36" s="57" t="str">
        <f>IF(COUNTIF(Overwash_Matrix!$C:$C,2016)=0,"",COUNTIFS(Overwash_Matrix!$C:$C,2016,Overwash_Matrix!CE:CE,1))</f>
        <v/>
      </c>
      <c r="BZ36" s="57" t="str">
        <f>IF(COUNTIF(Overwash_Matrix!$C:$C,2016)=0,"",COUNTIFS(Overwash_Matrix!$C:$C,2016,Overwash_Matrix!CF:CF,1))</f>
        <v/>
      </c>
      <c r="CA36" s="57" t="str">
        <f>IF(COUNTIF(Overwash_Matrix!$C:$C,2016)=0,"",COUNTIFS(Overwash_Matrix!$C:$C,2016,Overwash_Matrix!CG:CG,1))</f>
        <v/>
      </c>
      <c r="CB36" s="57" t="str">
        <f>IF(COUNTIF(Overwash_Matrix!$C:$C,2016)=0,"",COUNTIFS(Overwash_Matrix!$C:$C,2016,Overwash_Matrix!CH:CH,1))</f>
        <v/>
      </c>
      <c r="CC36" s="57" t="str">
        <f>IF(COUNTIF(Overwash_Matrix!$C:$C,2016)=0,"",COUNTIFS(Overwash_Matrix!$C:$C,2016,Overwash_Matrix!CI:CI,1))</f>
        <v/>
      </c>
      <c r="CD36" s="57" t="str">
        <f>IF(COUNTIF(Overwash_Matrix!$C:$C,2016)=0,"",COUNTIFS(Overwash_Matrix!$C:$C,2016,Overwash_Matrix!CJ:CJ,1))</f>
        <v/>
      </c>
      <c r="CE36" s="57" t="str">
        <f>IF(COUNTIF(Overwash_Matrix!$C:$C,2016)=0,"",COUNTIFS(Overwash_Matrix!$C:$C,2016,Overwash_Matrix!CK:CK,1))</f>
        <v/>
      </c>
      <c r="CF36" s="57" t="str">
        <f>IF(COUNTIF(Overwash_Matrix!$C:$C,2016)=0,"",COUNTIFS(Overwash_Matrix!$C:$C,2016,Overwash_Matrix!CL:CL,1))</f>
        <v/>
      </c>
      <c r="CG36" s="57" t="str">
        <f>IF(COUNTIF(Overwash_Matrix!$C:$C,2016)=0,"",COUNTIFS(Overwash_Matrix!$C:$C,2016,Overwash_Matrix!CM:CM,1))</f>
        <v/>
      </c>
      <c r="CH36" s="57" t="str">
        <f>IF(COUNTIF(Overwash_Matrix!$C:$C,2016)=0,"",COUNTIFS(Overwash_Matrix!$C:$C,2016,Overwash_Matrix!CN:CN,1))</f>
        <v/>
      </c>
      <c r="CI36" s="57" t="str">
        <f>IF(COUNTIF(Overwash_Matrix!$C:$C,2016)=0,"",COUNTIFS(Overwash_Matrix!$C:$C,2016,Overwash_Matrix!CO:CO,1))</f>
        <v/>
      </c>
      <c r="CJ36" s="57" t="str">
        <f>IF(COUNTIF(Overwash_Matrix!$C:$C,2016)=0,"",COUNTIFS(Overwash_Matrix!$C:$C,2016,Overwash_Matrix!CP:CP,1))</f>
        <v/>
      </c>
      <c r="CK36" s="57" t="str">
        <f>IF(COUNTIF(Overwash_Matrix!$C:$C,2016)=0,"",COUNTIFS(Overwash_Matrix!$C:$C,2016,Overwash_Matrix!CQ:CQ,1))</f>
        <v/>
      </c>
      <c r="CL36" s="57" t="str">
        <f>IF(COUNTIF(Overwash_Matrix!$C:$C,2016)=0,"",COUNTIFS(Overwash_Matrix!$C:$C,2016,Overwash_Matrix!CR:CR,1))</f>
        <v/>
      </c>
      <c r="CM36" s="57" t="str">
        <f>IF(COUNTIF(Overwash_Matrix!$C:$C,2016)=0,"",COUNTIFS(Overwash_Matrix!$C:$C,2016,Overwash_Matrix!CS:CS,1))</f>
        <v/>
      </c>
      <c r="CN36" s="57" t="str">
        <f>IF(COUNTIF(Overwash_Matrix!$C:$C,2016)=0,"",COUNTIFS(Overwash_Matrix!$C:$C,2016,Overwash_Matrix!CT:CT,1))</f>
        <v/>
      </c>
    </row>
    <row r="37" ht="13.5" customHeight="1">
      <c r="A37" s="88">
        <v>2017.0</v>
      </c>
      <c r="B37" s="89">
        <f>COUNTIF(Overwash_Matrix!$C:$C,2017)</f>
        <v>0</v>
      </c>
      <c r="C37" s="53" t="str">
        <f>IF(COUNTIF(Overwash_Matrix!$C:$C,2017)=0,"",COUNTIFS(Overwash_Matrix!$C:$C,2017,Overwash_Matrix!I:I,1))</f>
        <v/>
      </c>
      <c r="D37" s="53" t="str">
        <f>IF(COUNTIF(Overwash_Matrix!$C:$C,2017)=0,"",COUNTIFS(Overwash_Matrix!$C:$C,2017,Overwash_Matrix!J:J,1))</f>
        <v/>
      </c>
      <c r="E37" s="53" t="str">
        <f>IF(COUNTIF(Overwash_Matrix!$C:$C,2017)=0,"",COUNTIFS(Overwash_Matrix!$C:$C,2017,Overwash_Matrix!K:K,1))</f>
        <v/>
      </c>
      <c r="F37" s="53" t="str">
        <f>IF(COUNTIF(Overwash_Matrix!$C:$C,2017)=0,"",COUNTIFS(Overwash_Matrix!$C:$C,2017,Overwash_Matrix!L:L,1))</f>
        <v/>
      </c>
      <c r="G37" s="53" t="str">
        <f>IF(COUNTIF(Overwash_Matrix!$C:$C,2017)=0,"",COUNTIFS(Overwash_Matrix!$C:$C,2017,Overwash_Matrix!M:M,1))</f>
        <v/>
      </c>
      <c r="H37" s="53" t="str">
        <f>IF(COUNTIF(Overwash_Matrix!$C:$C,2017)=0,"",COUNTIFS(Overwash_Matrix!$C:$C,2017,Overwash_Matrix!N:N,1))</f>
        <v/>
      </c>
      <c r="I37" s="53" t="str">
        <f>IF(COUNTIF(Overwash_Matrix!$C:$C,2017)=0,"",COUNTIFS(Overwash_Matrix!$C:$C,2017,Overwash_Matrix!O:O,1))</f>
        <v/>
      </c>
      <c r="J37" s="53" t="str">
        <f>IF(COUNTIF(Overwash_Matrix!$C:$C,2017)=0,"",COUNTIFS(Overwash_Matrix!$C:$C,2017,Overwash_Matrix!P:P,1))</f>
        <v/>
      </c>
      <c r="K37" s="53" t="str">
        <f>IF(COUNTIF(Overwash_Matrix!$C:$C,2017)=0,"",COUNTIFS(Overwash_Matrix!$C:$C,2017,Overwash_Matrix!Q:Q,1))</f>
        <v/>
      </c>
      <c r="L37" s="53" t="str">
        <f>IF(COUNTIF(Overwash_Matrix!$C:$C,2017)=0,"",COUNTIFS(Overwash_Matrix!$C:$C,2017,Overwash_Matrix!R:R,1))</f>
        <v/>
      </c>
      <c r="M37" s="53" t="str">
        <f>IF(COUNTIF(Overwash_Matrix!$C:$C,2017)=0,"",COUNTIFS(Overwash_Matrix!$C:$C,2017,Overwash_Matrix!S:S,1))</f>
        <v/>
      </c>
      <c r="N37" s="53" t="str">
        <f>IF(COUNTIF(Overwash_Matrix!$C:$C,2017)=0,"",COUNTIFS(Overwash_Matrix!$C:$C,2017,Overwash_Matrix!T:T,1))</f>
        <v/>
      </c>
      <c r="O37" s="53" t="str">
        <f>IF(COUNTIF(Overwash_Matrix!$C:$C,2017)=0,"",COUNTIFS(Overwash_Matrix!$C:$C,2017,Overwash_Matrix!U:U,1))</f>
        <v/>
      </c>
      <c r="P37" s="53" t="str">
        <f>IF(COUNTIF(Overwash_Matrix!$C:$C,2017)=0,"",COUNTIFS(Overwash_Matrix!$C:$C,2017,Overwash_Matrix!V:V,1))</f>
        <v/>
      </c>
      <c r="Q37" s="53" t="str">
        <f>IF(COUNTIF(Overwash_Matrix!$C:$C,2017)=0,"",COUNTIFS(Overwash_Matrix!$C:$C,2017,Overwash_Matrix!W:W,1))</f>
        <v/>
      </c>
      <c r="R37" s="53" t="str">
        <f>IF(COUNTIF(Overwash_Matrix!$C:$C,2017)=0,"",COUNTIFS(Overwash_Matrix!$C:$C,2017,Overwash_Matrix!X:X,1))</f>
        <v/>
      </c>
      <c r="S37" s="53" t="str">
        <f>IF(COUNTIF(Overwash_Matrix!$C:$C,2017)=0,"",COUNTIFS(Overwash_Matrix!$C:$C,2017,Overwash_Matrix!Y:Y,1))</f>
        <v/>
      </c>
      <c r="T37" s="53" t="str">
        <f>IF(COUNTIF(Overwash_Matrix!$C:$C,2017)=0,"",COUNTIFS(Overwash_Matrix!$C:$C,2017,Overwash_Matrix!Z:Z,1))</f>
        <v/>
      </c>
      <c r="U37" s="53" t="str">
        <f>IF(COUNTIF(Overwash_Matrix!$C:$C,2017)=0,"",COUNTIFS(Overwash_Matrix!$C:$C,2017,Overwash_Matrix!AA:AA,1))</f>
        <v/>
      </c>
      <c r="V37" s="53" t="str">
        <f>IF(COUNTIF(Overwash_Matrix!$C:$C,2017)=0,"",COUNTIFS(Overwash_Matrix!$C:$C,2017,Overwash_Matrix!AB:AB,1))</f>
        <v/>
      </c>
      <c r="W37" s="53" t="str">
        <f>IF(COUNTIF(Overwash_Matrix!$C:$C,2017)=0,"",COUNTIFS(Overwash_Matrix!$C:$C,2017,Overwash_Matrix!AC:AC,1))</f>
        <v/>
      </c>
      <c r="X37" s="53" t="str">
        <f>IF(COUNTIF(Overwash_Matrix!$C:$C,2017)=0,"",COUNTIFS(Overwash_Matrix!$C:$C,2017,Overwash_Matrix!AD:AD,1))</f>
        <v/>
      </c>
      <c r="Y37" s="53" t="str">
        <f>IF(COUNTIF(Overwash_Matrix!$C:$C,2017)=0,"",COUNTIFS(Overwash_Matrix!$C:$C,2017,Overwash_Matrix!AE:AE,1))</f>
        <v/>
      </c>
      <c r="Z37" s="53" t="str">
        <f>IF(COUNTIF(Overwash_Matrix!$C:$C,2017)=0,"",COUNTIFS(Overwash_Matrix!$C:$C,2017,Overwash_Matrix!AF:AF,1))</f>
        <v/>
      </c>
      <c r="AA37" s="53" t="str">
        <f>IF(COUNTIF(Overwash_Matrix!$C:$C,2017)=0,"",COUNTIFS(Overwash_Matrix!$C:$C,2017,Overwash_Matrix!AG:AG,1))</f>
        <v/>
      </c>
      <c r="AB37" s="53" t="str">
        <f>IF(COUNTIF(Overwash_Matrix!$C:$C,2017)=0,"",COUNTIFS(Overwash_Matrix!$C:$C,2017,Overwash_Matrix!AH:AH,1))</f>
        <v/>
      </c>
      <c r="AC37" s="53" t="str">
        <f>IF(COUNTIF(Overwash_Matrix!$C:$C,2017)=0,"",COUNTIFS(Overwash_Matrix!$C:$C,2017,Overwash_Matrix!AI:AI,1))</f>
        <v/>
      </c>
      <c r="AD37" s="53" t="str">
        <f>IF(COUNTIF(Overwash_Matrix!$C:$C,2017)=0,"",COUNTIFS(Overwash_Matrix!$C:$C,2017,Overwash_Matrix!AJ:AJ,1))</f>
        <v/>
      </c>
      <c r="AE37" s="53" t="str">
        <f>IF(COUNTIF(Overwash_Matrix!$C:$C,2017)=0,"",COUNTIFS(Overwash_Matrix!$C:$C,2017,Overwash_Matrix!AK:AK,1))</f>
        <v/>
      </c>
      <c r="AF37" s="53" t="str">
        <f>IF(COUNTIF(Overwash_Matrix!$C:$C,2017)=0,"",COUNTIFS(Overwash_Matrix!$C:$C,2017,Overwash_Matrix!AL:AL,1))</f>
        <v/>
      </c>
      <c r="AG37" s="53" t="str">
        <f>IF(COUNTIF(Overwash_Matrix!$C:$C,2017)=0,"",COUNTIFS(Overwash_Matrix!$C:$C,2017,Overwash_Matrix!AM:AM,1))</f>
        <v/>
      </c>
      <c r="AH37" s="53" t="str">
        <f>IF(COUNTIF(Overwash_Matrix!$C:$C,2017)=0,"",COUNTIFS(Overwash_Matrix!$C:$C,2017,Overwash_Matrix!AN:AN,1))</f>
        <v/>
      </c>
      <c r="AI37" s="53" t="str">
        <f>IF(COUNTIF(Overwash_Matrix!$C:$C,2017)=0,"",COUNTIFS(Overwash_Matrix!$C:$C,2017,Overwash_Matrix!AO:AO,1))</f>
        <v/>
      </c>
      <c r="AJ37" s="53" t="str">
        <f>IF(COUNTIF(Overwash_Matrix!$C:$C,2017)=0,"",COUNTIFS(Overwash_Matrix!$C:$C,2017,Overwash_Matrix!AP:AP,1))</f>
        <v/>
      </c>
      <c r="AK37" s="53" t="str">
        <f>IF(COUNTIF(Overwash_Matrix!$C:$C,2017)=0,"",COUNTIFS(Overwash_Matrix!$C:$C,2017,Overwash_Matrix!AQ:AQ,1))</f>
        <v/>
      </c>
      <c r="AL37" s="53" t="str">
        <f>IF(COUNTIF(Overwash_Matrix!$C:$C,2017)=0,"",COUNTIFS(Overwash_Matrix!$C:$C,2017,Overwash_Matrix!AR:AR,1))</f>
        <v/>
      </c>
      <c r="AM37" s="53" t="str">
        <f>IF(COUNTIF(Overwash_Matrix!$C:$C,2017)=0,"",COUNTIFS(Overwash_Matrix!$C:$C,2017,Overwash_Matrix!AS:AS,1))</f>
        <v/>
      </c>
      <c r="AN37" s="53" t="str">
        <f>IF(COUNTIF(Overwash_Matrix!$C:$C,2017)=0,"",COUNTIFS(Overwash_Matrix!$C:$C,2017,Overwash_Matrix!AT:AT,1))</f>
        <v/>
      </c>
      <c r="AO37" s="53" t="str">
        <f>IF(COUNTIF(Overwash_Matrix!$C:$C,2017)=0,"",COUNTIFS(Overwash_Matrix!$C:$C,2017,Overwash_Matrix!AU:AU,1))</f>
        <v/>
      </c>
      <c r="AP37" s="53" t="str">
        <f>IF(COUNTIF(Overwash_Matrix!$C:$C,2017)=0,"",COUNTIFS(Overwash_Matrix!$C:$C,2017,Overwash_Matrix!AV:AV,1))</f>
        <v/>
      </c>
      <c r="AQ37" s="53" t="str">
        <f>IF(COUNTIF(Overwash_Matrix!$C:$C,2017)=0,"",COUNTIFS(Overwash_Matrix!$C:$C,2017,Overwash_Matrix!AW:AW,1))</f>
        <v/>
      </c>
      <c r="AR37" s="53" t="str">
        <f>IF(COUNTIF(Overwash_Matrix!$C:$C,2017)=0,"",COUNTIFS(Overwash_Matrix!$C:$C,2017,Overwash_Matrix!AX:AX,1))</f>
        <v/>
      </c>
      <c r="AS37" s="53" t="str">
        <f>IF(COUNTIF(Overwash_Matrix!$C:$C,2017)=0,"",COUNTIFS(Overwash_Matrix!$C:$C,2017,Overwash_Matrix!AY:AY,1))</f>
        <v/>
      </c>
      <c r="AT37" s="53" t="str">
        <f>IF(COUNTIF(Overwash_Matrix!$C:$C,2017)=0,"",COUNTIFS(Overwash_Matrix!$C:$C,2017,Overwash_Matrix!AZ:AZ,1))</f>
        <v/>
      </c>
      <c r="AU37" s="53" t="str">
        <f>IF(COUNTIF(Overwash_Matrix!$C:$C,2017)=0,"",COUNTIFS(Overwash_Matrix!$C:$C,2017,Overwash_Matrix!BA:BA,1))</f>
        <v/>
      </c>
      <c r="AV37" s="53" t="str">
        <f>IF(COUNTIF(Overwash_Matrix!$C:$C,2017)=0,"",COUNTIFS(Overwash_Matrix!$C:$C,2017,Overwash_Matrix!BB:BB,1))</f>
        <v/>
      </c>
      <c r="AW37" s="53" t="str">
        <f>IF(COUNTIF(Overwash_Matrix!$C:$C,2017)=0,"",COUNTIFS(Overwash_Matrix!$C:$C,2017,Overwash_Matrix!BC:BC,1))</f>
        <v/>
      </c>
      <c r="AX37" s="53" t="str">
        <f>IF(COUNTIF(Overwash_Matrix!$C:$C,2017)=0,"",COUNTIFS(Overwash_Matrix!$C:$C,2017,Overwash_Matrix!BD:BD,1))</f>
        <v/>
      </c>
      <c r="AY37" s="53" t="str">
        <f>IF(COUNTIF(Overwash_Matrix!$C:$C,2017)=0,"",COUNTIFS(Overwash_Matrix!$C:$C,2017,Overwash_Matrix!BE:BE,1))</f>
        <v/>
      </c>
      <c r="AZ37" s="53" t="str">
        <f>IF(COUNTIF(Overwash_Matrix!$C:$C,2017)=0,"",COUNTIFS(Overwash_Matrix!$C:$C,2017,Overwash_Matrix!BF:BF,1))</f>
        <v/>
      </c>
      <c r="BA37" s="53" t="str">
        <f>IF(COUNTIF(Overwash_Matrix!$C:$C,2017)=0,"",COUNTIFS(Overwash_Matrix!$C:$C,2017,Overwash_Matrix!BG:BG,1))</f>
        <v/>
      </c>
      <c r="BB37" s="53" t="str">
        <f>IF(COUNTIF(Overwash_Matrix!$C:$C,2017)=0,"",COUNTIFS(Overwash_Matrix!$C:$C,2017,Overwash_Matrix!BH:BH,1))</f>
        <v/>
      </c>
      <c r="BC37" s="53" t="str">
        <f>IF(COUNTIF(Overwash_Matrix!$C:$C,2017)=0,"",COUNTIFS(Overwash_Matrix!$C:$C,2017,Overwash_Matrix!BI:BI,1))</f>
        <v/>
      </c>
      <c r="BD37" s="53" t="str">
        <f>IF(COUNTIF(Overwash_Matrix!$C:$C,2017)=0,"",COUNTIFS(Overwash_Matrix!$C:$C,2017,Overwash_Matrix!BJ:BJ,1))</f>
        <v/>
      </c>
      <c r="BE37" s="53" t="str">
        <f>IF(COUNTIF(Overwash_Matrix!$C:$C,2017)=0,"",COUNTIFS(Overwash_Matrix!$C:$C,2017,Overwash_Matrix!BK:BK,1))</f>
        <v/>
      </c>
      <c r="BF37" s="53" t="str">
        <f>IF(COUNTIF(Overwash_Matrix!$C:$C,2017)=0,"",COUNTIFS(Overwash_Matrix!$C:$C,2017,Overwash_Matrix!BL:BL,1))</f>
        <v/>
      </c>
      <c r="BG37" s="53" t="str">
        <f>IF(COUNTIF(Overwash_Matrix!$C:$C,2017)=0,"",COUNTIFS(Overwash_Matrix!$C:$C,2017,Overwash_Matrix!BM:BM,1))</f>
        <v/>
      </c>
      <c r="BH37" s="53" t="str">
        <f>IF(COUNTIF(Overwash_Matrix!$C:$C,2017)=0,"",COUNTIFS(Overwash_Matrix!$C:$C,2017,Overwash_Matrix!BN:BN,1))</f>
        <v/>
      </c>
      <c r="BI37" s="53" t="str">
        <f>IF(COUNTIF(Overwash_Matrix!$C:$C,2017)=0,"",COUNTIFS(Overwash_Matrix!$C:$C,2017,Overwash_Matrix!BO:BO,1))</f>
        <v/>
      </c>
      <c r="BJ37" s="53" t="str">
        <f>IF(COUNTIF(Overwash_Matrix!$C:$C,2017)=0,"",COUNTIFS(Overwash_Matrix!$C:$C,2017,Overwash_Matrix!BP:BP,1))</f>
        <v/>
      </c>
      <c r="BK37" s="53" t="str">
        <f>IF(COUNTIF(Overwash_Matrix!$C:$C,2017)=0,"",COUNTIFS(Overwash_Matrix!$C:$C,2017,Overwash_Matrix!BQ:BQ,1))</f>
        <v/>
      </c>
      <c r="BL37" s="53" t="str">
        <f>IF(COUNTIF(Overwash_Matrix!$C:$C,2017)=0,"",COUNTIFS(Overwash_Matrix!$C:$C,2017,Overwash_Matrix!BR:BR,1))</f>
        <v/>
      </c>
      <c r="BM37" s="53" t="str">
        <f>IF(COUNTIF(Overwash_Matrix!$C:$C,2017)=0,"",COUNTIFS(Overwash_Matrix!$C:$C,2017,Overwash_Matrix!BS:BS,1))</f>
        <v/>
      </c>
      <c r="BN37" s="53" t="str">
        <f>IF(COUNTIF(Overwash_Matrix!$C:$C,2017)=0,"",COUNTIFS(Overwash_Matrix!$C:$C,2017,Overwash_Matrix!BT:BT,1))</f>
        <v/>
      </c>
      <c r="BO37" s="53" t="str">
        <f>IF(COUNTIF(Overwash_Matrix!$C:$C,2017)=0,"",COUNTIFS(Overwash_Matrix!$C:$C,2017,Overwash_Matrix!BU:BU,1))</f>
        <v/>
      </c>
      <c r="BP37" s="53" t="str">
        <f>IF(COUNTIF(Overwash_Matrix!$C:$C,2017)=0,"",COUNTIFS(Overwash_Matrix!$C:$C,2017,Overwash_Matrix!BV:BV,1))</f>
        <v/>
      </c>
      <c r="BQ37" s="53" t="str">
        <f>IF(COUNTIF(Overwash_Matrix!$C:$C,2017)=0,"",COUNTIFS(Overwash_Matrix!$C:$C,2017,Overwash_Matrix!BW:BW,1))</f>
        <v/>
      </c>
      <c r="BR37" s="53" t="str">
        <f>IF(COUNTIF(Overwash_Matrix!$C:$C,2017)=0,"",COUNTIFS(Overwash_Matrix!$C:$C,2017,Overwash_Matrix!BX:BX,1))</f>
        <v/>
      </c>
      <c r="BS37" s="53" t="str">
        <f>IF(COUNTIF(Overwash_Matrix!$C:$C,2017)=0,"",COUNTIFS(Overwash_Matrix!$C:$C,2017,Overwash_Matrix!BY:BY,1))</f>
        <v/>
      </c>
      <c r="BT37" s="53" t="str">
        <f>IF(COUNTIF(Overwash_Matrix!$C:$C,2017)=0,"",COUNTIFS(Overwash_Matrix!$C:$C,2017,Overwash_Matrix!BZ:BZ,1))</f>
        <v/>
      </c>
      <c r="BU37" s="53" t="str">
        <f>IF(COUNTIF(Overwash_Matrix!$C:$C,2017)=0,"",COUNTIFS(Overwash_Matrix!$C:$C,2017,Overwash_Matrix!CA:CA,1))</f>
        <v/>
      </c>
      <c r="BV37" s="53" t="str">
        <f>IF(COUNTIF(Overwash_Matrix!$C:$C,2017)=0,"",COUNTIFS(Overwash_Matrix!$C:$C,2017,Overwash_Matrix!CB:CB,1))</f>
        <v/>
      </c>
      <c r="BW37" s="53" t="str">
        <f>IF(COUNTIF(Overwash_Matrix!$C:$C,2017)=0,"",COUNTIFS(Overwash_Matrix!$C:$C,2017,Overwash_Matrix!CC:CC,1))</f>
        <v/>
      </c>
      <c r="BX37" s="53" t="str">
        <f>IF(COUNTIF(Overwash_Matrix!$C:$C,2017)=0,"",COUNTIFS(Overwash_Matrix!$C:$C,2017,Overwash_Matrix!CD:CD,1))</f>
        <v/>
      </c>
      <c r="BY37" s="53" t="str">
        <f>IF(COUNTIF(Overwash_Matrix!$C:$C,2017)=0,"",COUNTIFS(Overwash_Matrix!$C:$C,2017,Overwash_Matrix!CE:CE,1))</f>
        <v/>
      </c>
      <c r="BZ37" s="53" t="str">
        <f>IF(COUNTIF(Overwash_Matrix!$C:$C,2017)=0,"",COUNTIFS(Overwash_Matrix!$C:$C,2017,Overwash_Matrix!CF:CF,1))</f>
        <v/>
      </c>
      <c r="CA37" s="53" t="str">
        <f>IF(COUNTIF(Overwash_Matrix!$C:$C,2017)=0,"",COUNTIFS(Overwash_Matrix!$C:$C,2017,Overwash_Matrix!CG:CG,1))</f>
        <v/>
      </c>
      <c r="CB37" s="53" t="str">
        <f>IF(COUNTIF(Overwash_Matrix!$C:$C,2017)=0,"",COUNTIFS(Overwash_Matrix!$C:$C,2017,Overwash_Matrix!CH:CH,1))</f>
        <v/>
      </c>
      <c r="CC37" s="53" t="str">
        <f>IF(COUNTIF(Overwash_Matrix!$C:$C,2017)=0,"",COUNTIFS(Overwash_Matrix!$C:$C,2017,Overwash_Matrix!CI:CI,1))</f>
        <v/>
      </c>
      <c r="CD37" s="53" t="str">
        <f>IF(COUNTIF(Overwash_Matrix!$C:$C,2017)=0,"",COUNTIFS(Overwash_Matrix!$C:$C,2017,Overwash_Matrix!CJ:CJ,1))</f>
        <v/>
      </c>
      <c r="CE37" s="53" t="str">
        <f>IF(COUNTIF(Overwash_Matrix!$C:$C,2017)=0,"",COUNTIFS(Overwash_Matrix!$C:$C,2017,Overwash_Matrix!CK:CK,1))</f>
        <v/>
      </c>
      <c r="CF37" s="53" t="str">
        <f>IF(COUNTIF(Overwash_Matrix!$C:$C,2017)=0,"",COUNTIFS(Overwash_Matrix!$C:$C,2017,Overwash_Matrix!CL:CL,1))</f>
        <v/>
      </c>
      <c r="CG37" s="53" t="str">
        <f>IF(COUNTIF(Overwash_Matrix!$C:$C,2017)=0,"",COUNTIFS(Overwash_Matrix!$C:$C,2017,Overwash_Matrix!CM:CM,1))</f>
        <v/>
      </c>
      <c r="CH37" s="53" t="str">
        <f>IF(COUNTIF(Overwash_Matrix!$C:$C,2017)=0,"",COUNTIFS(Overwash_Matrix!$C:$C,2017,Overwash_Matrix!CN:CN,1))</f>
        <v/>
      </c>
      <c r="CI37" s="53" t="str">
        <f>IF(COUNTIF(Overwash_Matrix!$C:$C,2017)=0,"",COUNTIFS(Overwash_Matrix!$C:$C,2017,Overwash_Matrix!CO:CO,1))</f>
        <v/>
      </c>
      <c r="CJ37" s="53" t="str">
        <f>IF(COUNTIF(Overwash_Matrix!$C:$C,2017)=0,"",COUNTIFS(Overwash_Matrix!$C:$C,2017,Overwash_Matrix!CP:CP,1))</f>
        <v/>
      </c>
      <c r="CK37" s="53" t="str">
        <f>IF(COUNTIF(Overwash_Matrix!$C:$C,2017)=0,"",COUNTIFS(Overwash_Matrix!$C:$C,2017,Overwash_Matrix!CQ:CQ,1))</f>
        <v/>
      </c>
      <c r="CL37" s="53" t="str">
        <f>IF(COUNTIF(Overwash_Matrix!$C:$C,2017)=0,"",COUNTIFS(Overwash_Matrix!$C:$C,2017,Overwash_Matrix!CR:CR,1))</f>
        <v/>
      </c>
      <c r="CM37" s="53" t="str">
        <f>IF(COUNTIF(Overwash_Matrix!$C:$C,2017)=0,"",COUNTIFS(Overwash_Matrix!$C:$C,2017,Overwash_Matrix!CS:CS,1))</f>
        <v/>
      </c>
      <c r="CN37" s="53" t="str">
        <f>IF(COUNTIF(Overwash_Matrix!$C:$C,2017)=0,"",COUNTIFS(Overwash_Matrix!$C:$C,2017,Overwash_Matrix!CT:CT,1))</f>
        <v/>
      </c>
    </row>
    <row r="38" ht="13.5" customHeight="1">
      <c r="A38" s="86">
        <v>2018.0</v>
      </c>
      <c r="B38" s="87">
        <f>COUNTIF(Overwash_Matrix!$C:$C,2018)</f>
        <v>0</v>
      </c>
      <c r="C38" s="57" t="str">
        <f>IF(COUNTIF(Overwash_Matrix!$C:$C,2018)=0,"",COUNTIFS(Overwash_Matrix!$C:$C,2018,Overwash_Matrix!I:I,1))</f>
        <v/>
      </c>
      <c r="D38" s="57" t="str">
        <f>IF(COUNTIF(Overwash_Matrix!$C:$C,2018)=0,"",COUNTIFS(Overwash_Matrix!$C:$C,2018,Overwash_Matrix!J:J,1))</f>
        <v/>
      </c>
      <c r="E38" s="57" t="str">
        <f>IF(COUNTIF(Overwash_Matrix!$C:$C,2018)=0,"",COUNTIFS(Overwash_Matrix!$C:$C,2018,Overwash_Matrix!K:K,1))</f>
        <v/>
      </c>
      <c r="F38" s="57" t="str">
        <f>IF(COUNTIF(Overwash_Matrix!$C:$C,2018)=0,"",COUNTIFS(Overwash_Matrix!$C:$C,2018,Overwash_Matrix!L:L,1))</f>
        <v/>
      </c>
      <c r="G38" s="57" t="str">
        <f>IF(COUNTIF(Overwash_Matrix!$C:$C,2018)=0,"",COUNTIFS(Overwash_Matrix!$C:$C,2018,Overwash_Matrix!M:M,1))</f>
        <v/>
      </c>
      <c r="H38" s="57" t="str">
        <f>IF(COUNTIF(Overwash_Matrix!$C:$C,2018)=0,"",COUNTIFS(Overwash_Matrix!$C:$C,2018,Overwash_Matrix!N:N,1))</f>
        <v/>
      </c>
      <c r="I38" s="57" t="str">
        <f>IF(COUNTIF(Overwash_Matrix!$C:$C,2018)=0,"",COUNTIFS(Overwash_Matrix!$C:$C,2018,Overwash_Matrix!O:O,1))</f>
        <v/>
      </c>
      <c r="J38" s="57" t="str">
        <f>IF(COUNTIF(Overwash_Matrix!$C:$C,2018)=0,"",COUNTIFS(Overwash_Matrix!$C:$C,2018,Overwash_Matrix!P:P,1))</f>
        <v/>
      </c>
      <c r="K38" s="57" t="str">
        <f>IF(COUNTIF(Overwash_Matrix!$C:$C,2018)=0,"",COUNTIFS(Overwash_Matrix!$C:$C,2018,Overwash_Matrix!Q:Q,1))</f>
        <v/>
      </c>
      <c r="L38" s="57" t="str">
        <f>IF(COUNTIF(Overwash_Matrix!$C:$C,2018)=0,"",COUNTIFS(Overwash_Matrix!$C:$C,2018,Overwash_Matrix!R:R,1))</f>
        <v/>
      </c>
      <c r="M38" s="57" t="str">
        <f>IF(COUNTIF(Overwash_Matrix!$C:$C,2018)=0,"",COUNTIFS(Overwash_Matrix!$C:$C,2018,Overwash_Matrix!S:S,1))</f>
        <v/>
      </c>
      <c r="N38" s="57" t="str">
        <f>IF(COUNTIF(Overwash_Matrix!$C:$C,2018)=0,"",COUNTIFS(Overwash_Matrix!$C:$C,2018,Overwash_Matrix!T:T,1))</f>
        <v/>
      </c>
      <c r="O38" s="57" t="str">
        <f>IF(COUNTIF(Overwash_Matrix!$C:$C,2018)=0,"",COUNTIFS(Overwash_Matrix!$C:$C,2018,Overwash_Matrix!U:U,1))</f>
        <v/>
      </c>
      <c r="P38" s="57" t="str">
        <f>IF(COUNTIF(Overwash_Matrix!$C:$C,2018)=0,"",COUNTIFS(Overwash_Matrix!$C:$C,2018,Overwash_Matrix!V:V,1))</f>
        <v/>
      </c>
      <c r="Q38" s="57" t="str">
        <f>IF(COUNTIF(Overwash_Matrix!$C:$C,2018)=0,"",COUNTIFS(Overwash_Matrix!$C:$C,2018,Overwash_Matrix!W:W,1))</f>
        <v/>
      </c>
      <c r="R38" s="57" t="str">
        <f>IF(COUNTIF(Overwash_Matrix!$C:$C,2018)=0,"",COUNTIFS(Overwash_Matrix!$C:$C,2018,Overwash_Matrix!X:X,1))</f>
        <v/>
      </c>
      <c r="S38" s="57" t="str">
        <f>IF(COUNTIF(Overwash_Matrix!$C:$C,2018)=0,"",COUNTIFS(Overwash_Matrix!$C:$C,2018,Overwash_Matrix!Y:Y,1))</f>
        <v/>
      </c>
      <c r="T38" s="57" t="str">
        <f>IF(COUNTIF(Overwash_Matrix!$C:$C,2018)=0,"",COUNTIFS(Overwash_Matrix!$C:$C,2018,Overwash_Matrix!Z:Z,1))</f>
        <v/>
      </c>
      <c r="U38" s="57" t="str">
        <f>IF(COUNTIF(Overwash_Matrix!$C:$C,2018)=0,"",COUNTIFS(Overwash_Matrix!$C:$C,2018,Overwash_Matrix!AA:AA,1))</f>
        <v/>
      </c>
      <c r="V38" s="57" t="str">
        <f>IF(COUNTIF(Overwash_Matrix!$C:$C,2018)=0,"",COUNTIFS(Overwash_Matrix!$C:$C,2018,Overwash_Matrix!AB:AB,1))</f>
        <v/>
      </c>
      <c r="W38" s="57" t="str">
        <f>IF(COUNTIF(Overwash_Matrix!$C:$C,2018)=0,"",COUNTIFS(Overwash_Matrix!$C:$C,2018,Overwash_Matrix!AC:AC,1))</f>
        <v/>
      </c>
      <c r="X38" s="57" t="str">
        <f>IF(COUNTIF(Overwash_Matrix!$C:$C,2018)=0,"",COUNTIFS(Overwash_Matrix!$C:$C,2018,Overwash_Matrix!AD:AD,1))</f>
        <v/>
      </c>
      <c r="Y38" s="57" t="str">
        <f>IF(COUNTIF(Overwash_Matrix!$C:$C,2018)=0,"",COUNTIFS(Overwash_Matrix!$C:$C,2018,Overwash_Matrix!AE:AE,1))</f>
        <v/>
      </c>
      <c r="Z38" s="57" t="str">
        <f>IF(COUNTIF(Overwash_Matrix!$C:$C,2018)=0,"",COUNTIFS(Overwash_Matrix!$C:$C,2018,Overwash_Matrix!AF:AF,1))</f>
        <v/>
      </c>
      <c r="AA38" s="57" t="str">
        <f>IF(COUNTIF(Overwash_Matrix!$C:$C,2018)=0,"",COUNTIFS(Overwash_Matrix!$C:$C,2018,Overwash_Matrix!AG:AG,1))</f>
        <v/>
      </c>
      <c r="AB38" s="57" t="str">
        <f>IF(COUNTIF(Overwash_Matrix!$C:$C,2018)=0,"",COUNTIFS(Overwash_Matrix!$C:$C,2018,Overwash_Matrix!AH:AH,1))</f>
        <v/>
      </c>
      <c r="AC38" s="57" t="str">
        <f>IF(COUNTIF(Overwash_Matrix!$C:$C,2018)=0,"",COUNTIFS(Overwash_Matrix!$C:$C,2018,Overwash_Matrix!AI:AI,1))</f>
        <v/>
      </c>
      <c r="AD38" s="57" t="str">
        <f>IF(COUNTIF(Overwash_Matrix!$C:$C,2018)=0,"",COUNTIFS(Overwash_Matrix!$C:$C,2018,Overwash_Matrix!AJ:AJ,1))</f>
        <v/>
      </c>
      <c r="AE38" s="57" t="str">
        <f>IF(COUNTIF(Overwash_Matrix!$C:$C,2018)=0,"",COUNTIFS(Overwash_Matrix!$C:$C,2018,Overwash_Matrix!AK:AK,1))</f>
        <v/>
      </c>
      <c r="AF38" s="57" t="str">
        <f>IF(COUNTIF(Overwash_Matrix!$C:$C,2018)=0,"",COUNTIFS(Overwash_Matrix!$C:$C,2018,Overwash_Matrix!AL:AL,1))</f>
        <v/>
      </c>
      <c r="AG38" s="57" t="str">
        <f>IF(COUNTIF(Overwash_Matrix!$C:$C,2018)=0,"",COUNTIFS(Overwash_Matrix!$C:$C,2018,Overwash_Matrix!AM:AM,1))</f>
        <v/>
      </c>
      <c r="AH38" s="57" t="str">
        <f>IF(COUNTIF(Overwash_Matrix!$C:$C,2018)=0,"",COUNTIFS(Overwash_Matrix!$C:$C,2018,Overwash_Matrix!AN:AN,1))</f>
        <v/>
      </c>
      <c r="AI38" s="57" t="str">
        <f>IF(COUNTIF(Overwash_Matrix!$C:$C,2018)=0,"",COUNTIFS(Overwash_Matrix!$C:$C,2018,Overwash_Matrix!AO:AO,1))</f>
        <v/>
      </c>
      <c r="AJ38" s="57" t="str">
        <f>IF(COUNTIF(Overwash_Matrix!$C:$C,2018)=0,"",COUNTIFS(Overwash_Matrix!$C:$C,2018,Overwash_Matrix!AP:AP,1))</f>
        <v/>
      </c>
      <c r="AK38" s="57" t="str">
        <f>IF(COUNTIF(Overwash_Matrix!$C:$C,2018)=0,"",COUNTIFS(Overwash_Matrix!$C:$C,2018,Overwash_Matrix!AQ:AQ,1))</f>
        <v/>
      </c>
      <c r="AL38" s="57" t="str">
        <f>IF(COUNTIF(Overwash_Matrix!$C:$C,2018)=0,"",COUNTIFS(Overwash_Matrix!$C:$C,2018,Overwash_Matrix!AR:AR,1))</f>
        <v/>
      </c>
      <c r="AM38" s="57" t="str">
        <f>IF(COUNTIF(Overwash_Matrix!$C:$C,2018)=0,"",COUNTIFS(Overwash_Matrix!$C:$C,2018,Overwash_Matrix!AS:AS,1))</f>
        <v/>
      </c>
      <c r="AN38" s="57" t="str">
        <f>IF(COUNTIF(Overwash_Matrix!$C:$C,2018)=0,"",COUNTIFS(Overwash_Matrix!$C:$C,2018,Overwash_Matrix!AT:AT,1))</f>
        <v/>
      </c>
      <c r="AO38" s="57" t="str">
        <f>IF(COUNTIF(Overwash_Matrix!$C:$C,2018)=0,"",COUNTIFS(Overwash_Matrix!$C:$C,2018,Overwash_Matrix!AU:AU,1))</f>
        <v/>
      </c>
      <c r="AP38" s="57" t="str">
        <f>IF(COUNTIF(Overwash_Matrix!$C:$C,2018)=0,"",COUNTIFS(Overwash_Matrix!$C:$C,2018,Overwash_Matrix!AV:AV,1))</f>
        <v/>
      </c>
      <c r="AQ38" s="57" t="str">
        <f>IF(COUNTIF(Overwash_Matrix!$C:$C,2018)=0,"",COUNTIFS(Overwash_Matrix!$C:$C,2018,Overwash_Matrix!AW:AW,1))</f>
        <v/>
      </c>
      <c r="AR38" s="57" t="str">
        <f>IF(COUNTIF(Overwash_Matrix!$C:$C,2018)=0,"",COUNTIFS(Overwash_Matrix!$C:$C,2018,Overwash_Matrix!AX:AX,1))</f>
        <v/>
      </c>
      <c r="AS38" s="57" t="str">
        <f>IF(COUNTIF(Overwash_Matrix!$C:$C,2018)=0,"",COUNTIFS(Overwash_Matrix!$C:$C,2018,Overwash_Matrix!AY:AY,1))</f>
        <v/>
      </c>
      <c r="AT38" s="57" t="str">
        <f>IF(COUNTIF(Overwash_Matrix!$C:$C,2018)=0,"",COUNTIFS(Overwash_Matrix!$C:$C,2018,Overwash_Matrix!AZ:AZ,1))</f>
        <v/>
      </c>
      <c r="AU38" s="57" t="str">
        <f>IF(COUNTIF(Overwash_Matrix!$C:$C,2018)=0,"",COUNTIFS(Overwash_Matrix!$C:$C,2018,Overwash_Matrix!BA:BA,1))</f>
        <v/>
      </c>
      <c r="AV38" s="57" t="str">
        <f>IF(COUNTIF(Overwash_Matrix!$C:$C,2018)=0,"",COUNTIFS(Overwash_Matrix!$C:$C,2018,Overwash_Matrix!BB:BB,1))</f>
        <v/>
      </c>
      <c r="AW38" s="57" t="str">
        <f>IF(COUNTIF(Overwash_Matrix!$C:$C,2018)=0,"",COUNTIFS(Overwash_Matrix!$C:$C,2018,Overwash_Matrix!BC:BC,1))</f>
        <v/>
      </c>
      <c r="AX38" s="57" t="str">
        <f>IF(COUNTIF(Overwash_Matrix!$C:$C,2018)=0,"",COUNTIFS(Overwash_Matrix!$C:$C,2018,Overwash_Matrix!BD:BD,1))</f>
        <v/>
      </c>
      <c r="AY38" s="57" t="str">
        <f>IF(COUNTIF(Overwash_Matrix!$C:$C,2018)=0,"",COUNTIFS(Overwash_Matrix!$C:$C,2018,Overwash_Matrix!BE:BE,1))</f>
        <v/>
      </c>
      <c r="AZ38" s="57" t="str">
        <f>IF(COUNTIF(Overwash_Matrix!$C:$C,2018)=0,"",COUNTIFS(Overwash_Matrix!$C:$C,2018,Overwash_Matrix!BF:BF,1))</f>
        <v/>
      </c>
      <c r="BA38" s="57" t="str">
        <f>IF(COUNTIF(Overwash_Matrix!$C:$C,2018)=0,"",COUNTIFS(Overwash_Matrix!$C:$C,2018,Overwash_Matrix!BG:BG,1))</f>
        <v/>
      </c>
      <c r="BB38" s="57" t="str">
        <f>IF(COUNTIF(Overwash_Matrix!$C:$C,2018)=0,"",COUNTIFS(Overwash_Matrix!$C:$C,2018,Overwash_Matrix!BH:BH,1))</f>
        <v/>
      </c>
      <c r="BC38" s="57" t="str">
        <f>IF(COUNTIF(Overwash_Matrix!$C:$C,2018)=0,"",COUNTIFS(Overwash_Matrix!$C:$C,2018,Overwash_Matrix!BI:BI,1))</f>
        <v/>
      </c>
      <c r="BD38" s="57" t="str">
        <f>IF(COUNTIF(Overwash_Matrix!$C:$C,2018)=0,"",COUNTIFS(Overwash_Matrix!$C:$C,2018,Overwash_Matrix!BJ:BJ,1))</f>
        <v/>
      </c>
      <c r="BE38" s="57" t="str">
        <f>IF(COUNTIF(Overwash_Matrix!$C:$C,2018)=0,"",COUNTIFS(Overwash_Matrix!$C:$C,2018,Overwash_Matrix!BK:BK,1))</f>
        <v/>
      </c>
      <c r="BF38" s="57" t="str">
        <f>IF(COUNTIF(Overwash_Matrix!$C:$C,2018)=0,"",COUNTIFS(Overwash_Matrix!$C:$C,2018,Overwash_Matrix!BL:BL,1))</f>
        <v/>
      </c>
      <c r="BG38" s="57" t="str">
        <f>IF(COUNTIF(Overwash_Matrix!$C:$C,2018)=0,"",COUNTIFS(Overwash_Matrix!$C:$C,2018,Overwash_Matrix!BM:BM,1))</f>
        <v/>
      </c>
      <c r="BH38" s="57" t="str">
        <f>IF(COUNTIF(Overwash_Matrix!$C:$C,2018)=0,"",COUNTIFS(Overwash_Matrix!$C:$C,2018,Overwash_Matrix!BN:BN,1))</f>
        <v/>
      </c>
      <c r="BI38" s="57" t="str">
        <f>IF(COUNTIF(Overwash_Matrix!$C:$C,2018)=0,"",COUNTIFS(Overwash_Matrix!$C:$C,2018,Overwash_Matrix!BO:BO,1))</f>
        <v/>
      </c>
      <c r="BJ38" s="57" t="str">
        <f>IF(COUNTIF(Overwash_Matrix!$C:$C,2018)=0,"",COUNTIFS(Overwash_Matrix!$C:$C,2018,Overwash_Matrix!BP:BP,1))</f>
        <v/>
      </c>
      <c r="BK38" s="57" t="str">
        <f>IF(COUNTIF(Overwash_Matrix!$C:$C,2018)=0,"",COUNTIFS(Overwash_Matrix!$C:$C,2018,Overwash_Matrix!BQ:BQ,1))</f>
        <v/>
      </c>
      <c r="BL38" s="57" t="str">
        <f>IF(COUNTIF(Overwash_Matrix!$C:$C,2018)=0,"",COUNTIFS(Overwash_Matrix!$C:$C,2018,Overwash_Matrix!BR:BR,1))</f>
        <v/>
      </c>
      <c r="BM38" s="57" t="str">
        <f>IF(COUNTIF(Overwash_Matrix!$C:$C,2018)=0,"",COUNTIFS(Overwash_Matrix!$C:$C,2018,Overwash_Matrix!BS:BS,1))</f>
        <v/>
      </c>
      <c r="BN38" s="57" t="str">
        <f>IF(COUNTIF(Overwash_Matrix!$C:$C,2018)=0,"",COUNTIFS(Overwash_Matrix!$C:$C,2018,Overwash_Matrix!BT:BT,1))</f>
        <v/>
      </c>
      <c r="BO38" s="57" t="str">
        <f>IF(COUNTIF(Overwash_Matrix!$C:$C,2018)=0,"",COUNTIFS(Overwash_Matrix!$C:$C,2018,Overwash_Matrix!BU:BU,1))</f>
        <v/>
      </c>
      <c r="BP38" s="57" t="str">
        <f>IF(COUNTIF(Overwash_Matrix!$C:$C,2018)=0,"",COUNTIFS(Overwash_Matrix!$C:$C,2018,Overwash_Matrix!BV:BV,1))</f>
        <v/>
      </c>
      <c r="BQ38" s="57" t="str">
        <f>IF(COUNTIF(Overwash_Matrix!$C:$C,2018)=0,"",COUNTIFS(Overwash_Matrix!$C:$C,2018,Overwash_Matrix!BW:BW,1))</f>
        <v/>
      </c>
      <c r="BR38" s="57" t="str">
        <f>IF(COUNTIF(Overwash_Matrix!$C:$C,2018)=0,"",COUNTIFS(Overwash_Matrix!$C:$C,2018,Overwash_Matrix!BX:BX,1))</f>
        <v/>
      </c>
      <c r="BS38" s="57" t="str">
        <f>IF(COUNTIF(Overwash_Matrix!$C:$C,2018)=0,"",COUNTIFS(Overwash_Matrix!$C:$C,2018,Overwash_Matrix!BY:BY,1))</f>
        <v/>
      </c>
      <c r="BT38" s="57" t="str">
        <f>IF(COUNTIF(Overwash_Matrix!$C:$C,2018)=0,"",COUNTIFS(Overwash_Matrix!$C:$C,2018,Overwash_Matrix!BZ:BZ,1))</f>
        <v/>
      </c>
      <c r="BU38" s="57" t="str">
        <f>IF(COUNTIF(Overwash_Matrix!$C:$C,2018)=0,"",COUNTIFS(Overwash_Matrix!$C:$C,2018,Overwash_Matrix!CA:CA,1))</f>
        <v/>
      </c>
      <c r="BV38" s="57" t="str">
        <f>IF(COUNTIF(Overwash_Matrix!$C:$C,2018)=0,"",COUNTIFS(Overwash_Matrix!$C:$C,2018,Overwash_Matrix!CB:CB,1))</f>
        <v/>
      </c>
      <c r="BW38" s="57" t="str">
        <f>IF(COUNTIF(Overwash_Matrix!$C:$C,2018)=0,"",COUNTIFS(Overwash_Matrix!$C:$C,2018,Overwash_Matrix!CC:CC,1))</f>
        <v/>
      </c>
      <c r="BX38" s="57" t="str">
        <f>IF(COUNTIF(Overwash_Matrix!$C:$C,2018)=0,"",COUNTIFS(Overwash_Matrix!$C:$C,2018,Overwash_Matrix!CD:CD,1))</f>
        <v/>
      </c>
      <c r="BY38" s="57" t="str">
        <f>IF(COUNTIF(Overwash_Matrix!$C:$C,2018)=0,"",COUNTIFS(Overwash_Matrix!$C:$C,2018,Overwash_Matrix!CE:CE,1))</f>
        <v/>
      </c>
      <c r="BZ38" s="57" t="str">
        <f>IF(COUNTIF(Overwash_Matrix!$C:$C,2018)=0,"",COUNTIFS(Overwash_Matrix!$C:$C,2018,Overwash_Matrix!CF:CF,1))</f>
        <v/>
      </c>
      <c r="CA38" s="57" t="str">
        <f>IF(COUNTIF(Overwash_Matrix!$C:$C,2018)=0,"",COUNTIFS(Overwash_Matrix!$C:$C,2018,Overwash_Matrix!CG:CG,1))</f>
        <v/>
      </c>
      <c r="CB38" s="57" t="str">
        <f>IF(COUNTIF(Overwash_Matrix!$C:$C,2018)=0,"",COUNTIFS(Overwash_Matrix!$C:$C,2018,Overwash_Matrix!CH:CH,1))</f>
        <v/>
      </c>
      <c r="CC38" s="57" t="str">
        <f>IF(COUNTIF(Overwash_Matrix!$C:$C,2018)=0,"",COUNTIFS(Overwash_Matrix!$C:$C,2018,Overwash_Matrix!CI:CI,1))</f>
        <v/>
      </c>
      <c r="CD38" s="57" t="str">
        <f>IF(COUNTIF(Overwash_Matrix!$C:$C,2018)=0,"",COUNTIFS(Overwash_Matrix!$C:$C,2018,Overwash_Matrix!CJ:CJ,1))</f>
        <v/>
      </c>
      <c r="CE38" s="57" t="str">
        <f>IF(COUNTIF(Overwash_Matrix!$C:$C,2018)=0,"",COUNTIFS(Overwash_Matrix!$C:$C,2018,Overwash_Matrix!CK:CK,1))</f>
        <v/>
      </c>
      <c r="CF38" s="57" t="str">
        <f>IF(COUNTIF(Overwash_Matrix!$C:$C,2018)=0,"",COUNTIFS(Overwash_Matrix!$C:$C,2018,Overwash_Matrix!CL:CL,1))</f>
        <v/>
      </c>
      <c r="CG38" s="57" t="str">
        <f>IF(COUNTIF(Overwash_Matrix!$C:$C,2018)=0,"",COUNTIFS(Overwash_Matrix!$C:$C,2018,Overwash_Matrix!CM:CM,1))</f>
        <v/>
      </c>
      <c r="CH38" s="57" t="str">
        <f>IF(COUNTIF(Overwash_Matrix!$C:$C,2018)=0,"",COUNTIFS(Overwash_Matrix!$C:$C,2018,Overwash_Matrix!CN:CN,1))</f>
        <v/>
      </c>
      <c r="CI38" s="57" t="str">
        <f>IF(COUNTIF(Overwash_Matrix!$C:$C,2018)=0,"",COUNTIFS(Overwash_Matrix!$C:$C,2018,Overwash_Matrix!CO:CO,1))</f>
        <v/>
      </c>
      <c r="CJ38" s="57" t="str">
        <f>IF(COUNTIF(Overwash_Matrix!$C:$C,2018)=0,"",COUNTIFS(Overwash_Matrix!$C:$C,2018,Overwash_Matrix!CP:CP,1))</f>
        <v/>
      </c>
      <c r="CK38" s="57" t="str">
        <f>IF(COUNTIF(Overwash_Matrix!$C:$C,2018)=0,"",COUNTIFS(Overwash_Matrix!$C:$C,2018,Overwash_Matrix!CQ:CQ,1))</f>
        <v/>
      </c>
      <c r="CL38" s="57" t="str">
        <f>IF(COUNTIF(Overwash_Matrix!$C:$C,2018)=0,"",COUNTIFS(Overwash_Matrix!$C:$C,2018,Overwash_Matrix!CR:CR,1))</f>
        <v/>
      </c>
      <c r="CM38" s="57" t="str">
        <f>IF(COUNTIF(Overwash_Matrix!$C:$C,2018)=0,"",COUNTIFS(Overwash_Matrix!$C:$C,2018,Overwash_Matrix!CS:CS,1))</f>
        <v/>
      </c>
      <c r="CN38" s="57" t="str">
        <f>IF(COUNTIF(Overwash_Matrix!$C:$C,2018)=0,"",COUNTIFS(Overwash_Matrix!$C:$C,2018,Overwash_Matrix!CT:CT,1))</f>
        <v/>
      </c>
    </row>
    <row r="39" ht="13.5" customHeight="1">
      <c r="A39" s="88">
        <v>2019.0</v>
      </c>
      <c r="B39" s="89">
        <f>COUNTIF(Overwash_Matrix!$C:$C,2019)</f>
        <v>0</v>
      </c>
      <c r="C39" s="53" t="str">
        <f>IF(COUNTIF(Overwash_Matrix!$C:$C,2019)=0,"",COUNTIFS(Overwash_Matrix!$C:$C,2019,Overwash_Matrix!I:I,1))</f>
        <v/>
      </c>
      <c r="D39" s="53" t="str">
        <f>IF(COUNTIF(Overwash_Matrix!$C:$C,2019)=0,"",COUNTIFS(Overwash_Matrix!$C:$C,2019,Overwash_Matrix!J:J,1))</f>
        <v/>
      </c>
      <c r="E39" s="53" t="str">
        <f>IF(COUNTIF(Overwash_Matrix!$C:$C,2019)=0,"",COUNTIFS(Overwash_Matrix!$C:$C,2019,Overwash_Matrix!K:K,1))</f>
        <v/>
      </c>
      <c r="F39" s="53" t="str">
        <f>IF(COUNTIF(Overwash_Matrix!$C:$C,2019)=0,"",COUNTIFS(Overwash_Matrix!$C:$C,2019,Overwash_Matrix!L:L,1))</f>
        <v/>
      </c>
      <c r="G39" s="53" t="str">
        <f>IF(COUNTIF(Overwash_Matrix!$C:$C,2019)=0,"",COUNTIFS(Overwash_Matrix!$C:$C,2019,Overwash_Matrix!M:M,1))</f>
        <v/>
      </c>
      <c r="H39" s="53" t="str">
        <f>IF(COUNTIF(Overwash_Matrix!$C:$C,2019)=0,"",COUNTIFS(Overwash_Matrix!$C:$C,2019,Overwash_Matrix!N:N,1))</f>
        <v/>
      </c>
      <c r="I39" s="53" t="str">
        <f>IF(COUNTIF(Overwash_Matrix!$C:$C,2019)=0,"",COUNTIFS(Overwash_Matrix!$C:$C,2019,Overwash_Matrix!O:O,1))</f>
        <v/>
      </c>
      <c r="J39" s="53" t="str">
        <f>IF(COUNTIF(Overwash_Matrix!$C:$C,2019)=0,"",COUNTIFS(Overwash_Matrix!$C:$C,2019,Overwash_Matrix!P:P,1))</f>
        <v/>
      </c>
      <c r="K39" s="53" t="str">
        <f>IF(COUNTIF(Overwash_Matrix!$C:$C,2019)=0,"",COUNTIFS(Overwash_Matrix!$C:$C,2019,Overwash_Matrix!Q:Q,1))</f>
        <v/>
      </c>
      <c r="L39" s="53" t="str">
        <f>IF(COUNTIF(Overwash_Matrix!$C:$C,2019)=0,"",COUNTIFS(Overwash_Matrix!$C:$C,2019,Overwash_Matrix!R:R,1))</f>
        <v/>
      </c>
      <c r="M39" s="53" t="str">
        <f>IF(COUNTIF(Overwash_Matrix!$C:$C,2019)=0,"",COUNTIFS(Overwash_Matrix!$C:$C,2019,Overwash_Matrix!S:S,1))</f>
        <v/>
      </c>
      <c r="N39" s="53" t="str">
        <f>IF(COUNTIF(Overwash_Matrix!$C:$C,2019)=0,"",COUNTIFS(Overwash_Matrix!$C:$C,2019,Overwash_Matrix!T:T,1))</f>
        <v/>
      </c>
      <c r="O39" s="53" t="str">
        <f>IF(COUNTIF(Overwash_Matrix!$C:$C,2019)=0,"",COUNTIFS(Overwash_Matrix!$C:$C,2019,Overwash_Matrix!U:U,1))</f>
        <v/>
      </c>
      <c r="P39" s="53" t="str">
        <f>IF(COUNTIF(Overwash_Matrix!$C:$C,2019)=0,"",COUNTIFS(Overwash_Matrix!$C:$C,2019,Overwash_Matrix!V:V,1))</f>
        <v/>
      </c>
      <c r="Q39" s="53" t="str">
        <f>IF(COUNTIF(Overwash_Matrix!$C:$C,2019)=0,"",COUNTIFS(Overwash_Matrix!$C:$C,2019,Overwash_Matrix!W:W,1))</f>
        <v/>
      </c>
      <c r="R39" s="53" t="str">
        <f>IF(COUNTIF(Overwash_Matrix!$C:$C,2019)=0,"",COUNTIFS(Overwash_Matrix!$C:$C,2019,Overwash_Matrix!X:X,1))</f>
        <v/>
      </c>
      <c r="S39" s="53" t="str">
        <f>IF(COUNTIF(Overwash_Matrix!$C:$C,2019)=0,"",COUNTIFS(Overwash_Matrix!$C:$C,2019,Overwash_Matrix!Y:Y,1))</f>
        <v/>
      </c>
      <c r="T39" s="53" t="str">
        <f>IF(COUNTIF(Overwash_Matrix!$C:$C,2019)=0,"",COUNTIFS(Overwash_Matrix!$C:$C,2019,Overwash_Matrix!Z:Z,1))</f>
        <v/>
      </c>
      <c r="U39" s="53" t="str">
        <f>IF(COUNTIF(Overwash_Matrix!$C:$C,2019)=0,"",COUNTIFS(Overwash_Matrix!$C:$C,2019,Overwash_Matrix!AA:AA,1))</f>
        <v/>
      </c>
      <c r="V39" s="53" t="str">
        <f>IF(COUNTIF(Overwash_Matrix!$C:$C,2019)=0,"",COUNTIFS(Overwash_Matrix!$C:$C,2019,Overwash_Matrix!AB:AB,1))</f>
        <v/>
      </c>
      <c r="W39" s="53" t="str">
        <f>IF(COUNTIF(Overwash_Matrix!$C:$C,2019)=0,"",COUNTIFS(Overwash_Matrix!$C:$C,2019,Overwash_Matrix!AC:AC,1))</f>
        <v/>
      </c>
      <c r="X39" s="53" t="str">
        <f>IF(COUNTIF(Overwash_Matrix!$C:$C,2019)=0,"",COUNTIFS(Overwash_Matrix!$C:$C,2019,Overwash_Matrix!AD:AD,1))</f>
        <v/>
      </c>
      <c r="Y39" s="53" t="str">
        <f>IF(COUNTIF(Overwash_Matrix!$C:$C,2019)=0,"",COUNTIFS(Overwash_Matrix!$C:$C,2019,Overwash_Matrix!AE:AE,1))</f>
        <v/>
      </c>
      <c r="Z39" s="53" t="str">
        <f>IF(COUNTIF(Overwash_Matrix!$C:$C,2019)=0,"",COUNTIFS(Overwash_Matrix!$C:$C,2019,Overwash_Matrix!AF:AF,1))</f>
        <v/>
      </c>
      <c r="AA39" s="53" t="str">
        <f>IF(COUNTIF(Overwash_Matrix!$C:$C,2019)=0,"",COUNTIFS(Overwash_Matrix!$C:$C,2019,Overwash_Matrix!AG:AG,1))</f>
        <v/>
      </c>
      <c r="AB39" s="53" t="str">
        <f>IF(COUNTIF(Overwash_Matrix!$C:$C,2019)=0,"",COUNTIFS(Overwash_Matrix!$C:$C,2019,Overwash_Matrix!AH:AH,1))</f>
        <v/>
      </c>
      <c r="AC39" s="53" t="str">
        <f>IF(COUNTIF(Overwash_Matrix!$C:$C,2019)=0,"",COUNTIFS(Overwash_Matrix!$C:$C,2019,Overwash_Matrix!AI:AI,1))</f>
        <v/>
      </c>
      <c r="AD39" s="53" t="str">
        <f>IF(COUNTIF(Overwash_Matrix!$C:$C,2019)=0,"",COUNTIFS(Overwash_Matrix!$C:$C,2019,Overwash_Matrix!AJ:AJ,1))</f>
        <v/>
      </c>
      <c r="AE39" s="53" t="str">
        <f>IF(COUNTIF(Overwash_Matrix!$C:$C,2019)=0,"",COUNTIFS(Overwash_Matrix!$C:$C,2019,Overwash_Matrix!AK:AK,1))</f>
        <v/>
      </c>
      <c r="AF39" s="53" t="str">
        <f>IF(COUNTIF(Overwash_Matrix!$C:$C,2019)=0,"",COUNTIFS(Overwash_Matrix!$C:$C,2019,Overwash_Matrix!AL:AL,1))</f>
        <v/>
      </c>
      <c r="AG39" s="53" t="str">
        <f>IF(COUNTIF(Overwash_Matrix!$C:$C,2019)=0,"",COUNTIFS(Overwash_Matrix!$C:$C,2019,Overwash_Matrix!AM:AM,1))</f>
        <v/>
      </c>
      <c r="AH39" s="53" t="str">
        <f>IF(COUNTIF(Overwash_Matrix!$C:$C,2019)=0,"",COUNTIFS(Overwash_Matrix!$C:$C,2019,Overwash_Matrix!AN:AN,1))</f>
        <v/>
      </c>
      <c r="AI39" s="53" t="str">
        <f>IF(COUNTIF(Overwash_Matrix!$C:$C,2019)=0,"",COUNTIFS(Overwash_Matrix!$C:$C,2019,Overwash_Matrix!AO:AO,1))</f>
        <v/>
      </c>
      <c r="AJ39" s="53" t="str">
        <f>IF(COUNTIF(Overwash_Matrix!$C:$C,2019)=0,"",COUNTIFS(Overwash_Matrix!$C:$C,2019,Overwash_Matrix!AP:AP,1))</f>
        <v/>
      </c>
      <c r="AK39" s="53" t="str">
        <f>IF(COUNTIF(Overwash_Matrix!$C:$C,2019)=0,"",COUNTIFS(Overwash_Matrix!$C:$C,2019,Overwash_Matrix!AQ:AQ,1))</f>
        <v/>
      </c>
      <c r="AL39" s="53" t="str">
        <f>IF(COUNTIF(Overwash_Matrix!$C:$C,2019)=0,"",COUNTIFS(Overwash_Matrix!$C:$C,2019,Overwash_Matrix!AR:AR,1))</f>
        <v/>
      </c>
      <c r="AM39" s="53" t="str">
        <f>IF(COUNTIF(Overwash_Matrix!$C:$C,2019)=0,"",COUNTIFS(Overwash_Matrix!$C:$C,2019,Overwash_Matrix!AS:AS,1))</f>
        <v/>
      </c>
      <c r="AN39" s="53" t="str">
        <f>IF(COUNTIF(Overwash_Matrix!$C:$C,2019)=0,"",COUNTIFS(Overwash_Matrix!$C:$C,2019,Overwash_Matrix!AT:AT,1))</f>
        <v/>
      </c>
      <c r="AO39" s="53" t="str">
        <f>IF(COUNTIF(Overwash_Matrix!$C:$C,2019)=0,"",COUNTIFS(Overwash_Matrix!$C:$C,2019,Overwash_Matrix!AU:AU,1))</f>
        <v/>
      </c>
      <c r="AP39" s="53" t="str">
        <f>IF(COUNTIF(Overwash_Matrix!$C:$C,2019)=0,"",COUNTIFS(Overwash_Matrix!$C:$C,2019,Overwash_Matrix!AV:AV,1))</f>
        <v/>
      </c>
      <c r="AQ39" s="53" t="str">
        <f>IF(COUNTIF(Overwash_Matrix!$C:$C,2019)=0,"",COUNTIFS(Overwash_Matrix!$C:$C,2019,Overwash_Matrix!AW:AW,1))</f>
        <v/>
      </c>
      <c r="AR39" s="53" t="str">
        <f>IF(COUNTIF(Overwash_Matrix!$C:$C,2019)=0,"",COUNTIFS(Overwash_Matrix!$C:$C,2019,Overwash_Matrix!AX:AX,1))</f>
        <v/>
      </c>
      <c r="AS39" s="53" t="str">
        <f>IF(COUNTIF(Overwash_Matrix!$C:$C,2019)=0,"",COUNTIFS(Overwash_Matrix!$C:$C,2019,Overwash_Matrix!AY:AY,1))</f>
        <v/>
      </c>
      <c r="AT39" s="53" t="str">
        <f>IF(COUNTIF(Overwash_Matrix!$C:$C,2019)=0,"",COUNTIFS(Overwash_Matrix!$C:$C,2019,Overwash_Matrix!AZ:AZ,1))</f>
        <v/>
      </c>
      <c r="AU39" s="53" t="str">
        <f>IF(COUNTIF(Overwash_Matrix!$C:$C,2019)=0,"",COUNTIFS(Overwash_Matrix!$C:$C,2019,Overwash_Matrix!BA:BA,1))</f>
        <v/>
      </c>
      <c r="AV39" s="53" t="str">
        <f>IF(COUNTIF(Overwash_Matrix!$C:$C,2019)=0,"",COUNTIFS(Overwash_Matrix!$C:$C,2019,Overwash_Matrix!BB:BB,1))</f>
        <v/>
      </c>
      <c r="AW39" s="53" t="str">
        <f>IF(COUNTIF(Overwash_Matrix!$C:$C,2019)=0,"",COUNTIFS(Overwash_Matrix!$C:$C,2019,Overwash_Matrix!BC:BC,1))</f>
        <v/>
      </c>
      <c r="AX39" s="53" t="str">
        <f>IF(COUNTIF(Overwash_Matrix!$C:$C,2019)=0,"",COUNTIFS(Overwash_Matrix!$C:$C,2019,Overwash_Matrix!BD:BD,1))</f>
        <v/>
      </c>
      <c r="AY39" s="53" t="str">
        <f>IF(COUNTIF(Overwash_Matrix!$C:$C,2019)=0,"",COUNTIFS(Overwash_Matrix!$C:$C,2019,Overwash_Matrix!BE:BE,1))</f>
        <v/>
      </c>
      <c r="AZ39" s="53" t="str">
        <f>IF(COUNTIF(Overwash_Matrix!$C:$C,2019)=0,"",COUNTIFS(Overwash_Matrix!$C:$C,2019,Overwash_Matrix!BF:BF,1))</f>
        <v/>
      </c>
      <c r="BA39" s="53" t="str">
        <f>IF(COUNTIF(Overwash_Matrix!$C:$C,2019)=0,"",COUNTIFS(Overwash_Matrix!$C:$C,2019,Overwash_Matrix!BG:BG,1))</f>
        <v/>
      </c>
      <c r="BB39" s="53" t="str">
        <f>IF(COUNTIF(Overwash_Matrix!$C:$C,2019)=0,"",COUNTIFS(Overwash_Matrix!$C:$C,2019,Overwash_Matrix!BH:BH,1))</f>
        <v/>
      </c>
      <c r="BC39" s="53" t="str">
        <f>IF(COUNTIF(Overwash_Matrix!$C:$C,2019)=0,"",COUNTIFS(Overwash_Matrix!$C:$C,2019,Overwash_Matrix!BI:BI,1))</f>
        <v/>
      </c>
      <c r="BD39" s="53" t="str">
        <f>IF(COUNTIF(Overwash_Matrix!$C:$C,2019)=0,"",COUNTIFS(Overwash_Matrix!$C:$C,2019,Overwash_Matrix!BJ:BJ,1))</f>
        <v/>
      </c>
      <c r="BE39" s="53" t="str">
        <f>IF(COUNTIF(Overwash_Matrix!$C:$C,2019)=0,"",COUNTIFS(Overwash_Matrix!$C:$C,2019,Overwash_Matrix!BK:BK,1))</f>
        <v/>
      </c>
      <c r="BF39" s="53" t="str">
        <f>IF(COUNTIF(Overwash_Matrix!$C:$C,2019)=0,"",COUNTIFS(Overwash_Matrix!$C:$C,2019,Overwash_Matrix!BL:BL,1))</f>
        <v/>
      </c>
      <c r="BG39" s="53" t="str">
        <f>IF(COUNTIF(Overwash_Matrix!$C:$C,2019)=0,"",COUNTIFS(Overwash_Matrix!$C:$C,2019,Overwash_Matrix!BM:BM,1))</f>
        <v/>
      </c>
      <c r="BH39" s="53" t="str">
        <f>IF(COUNTIF(Overwash_Matrix!$C:$C,2019)=0,"",COUNTIFS(Overwash_Matrix!$C:$C,2019,Overwash_Matrix!BN:BN,1))</f>
        <v/>
      </c>
      <c r="BI39" s="53" t="str">
        <f>IF(COUNTIF(Overwash_Matrix!$C:$C,2019)=0,"",COUNTIFS(Overwash_Matrix!$C:$C,2019,Overwash_Matrix!BO:BO,1))</f>
        <v/>
      </c>
      <c r="BJ39" s="53" t="str">
        <f>IF(COUNTIF(Overwash_Matrix!$C:$C,2019)=0,"",COUNTIFS(Overwash_Matrix!$C:$C,2019,Overwash_Matrix!BP:BP,1))</f>
        <v/>
      </c>
      <c r="BK39" s="53" t="str">
        <f>IF(COUNTIF(Overwash_Matrix!$C:$C,2019)=0,"",COUNTIFS(Overwash_Matrix!$C:$C,2019,Overwash_Matrix!BQ:BQ,1))</f>
        <v/>
      </c>
      <c r="BL39" s="53" t="str">
        <f>IF(COUNTIF(Overwash_Matrix!$C:$C,2019)=0,"",COUNTIFS(Overwash_Matrix!$C:$C,2019,Overwash_Matrix!BR:BR,1))</f>
        <v/>
      </c>
      <c r="BM39" s="53" t="str">
        <f>IF(COUNTIF(Overwash_Matrix!$C:$C,2019)=0,"",COUNTIFS(Overwash_Matrix!$C:$C,2019,Overwash_Matrix!BS:BS,1))</f>
        <v/>
      </c>
      <c r="BN39" s="53" t="str">
        <f>IF(COUNTIF(Overwash_Matrix!$C:$C,2019)=0,"",COUNTIFS(Overwash_Matrix!$C:$C,2019,Overwash_Matrix!BT:BT,1))</f>
        <v/>
      </c>
      <c r="BO39" s="53" t="str">
        <f>IF(COUNTIF(Overwash_Matrix!$C:$C,2019)=0,"",COUNTIFS(Overwash_Matrix!$C:$C,2019,Overwash_Matrix!BU:BU,1))</f>
        <v/>
      </c>
      <c r="BP39" s="53" t="str">
        <f>IF(COUNTIF(Overwash_Matrix!$C:$C,2019)=0,"",COUNTIFS(Overwash_Matrix!$C:$C,2019,Overwash_Matrix!BV:BV,1))</f>
        <v/>
      </c>
      <c r="BQ39" s="53" t="str">
        <f>IF(COUNTIF(Overwash_Matrix!$C:$C,2019)=0,"",COUNTIFS(Overwash_Matrix!$C:$C,2019,Overwash_Matrix!BW:BW,1))</f>
        <v/>
      </c>
      <c r="BR39" s="53" t="str">
        <f>IF(COUNTIF(Overwash_Matrix!$C:$C,2019)=0,"",COUNTIFS(Overwash_Matrix!$C:$C,2019,Overwash_Matrix!BX:BX,1))</f>
        <v/>
      </c>
      <c r="BS39" s="53" t="str">
        <f>IF(COUNTIF(Overwash_Matrix!$C:$C,2019)=0,"",COUNTIFS(Overwash_Matrix!$C:$C,2019,Overwash_Matrix!BY:BY,1))</f>
        <v/>
      </c>
      <c r="BT39" s="53" t="str">
        <f>IF(COUNTIF(Overwash_Matrix!$C:$C,2019)=0,"",COUNTIFS(Overwash_Matrix!$C:$C,2019,Overwash_Matrix!BZ:BZ,1))</f>
        <v/>
      </c>
      <c r="BU39" s="53" t="str">
        <f>IF(COUNTIF(Overwash_Matrix!$C:$C,2019)=0,"",COUNTIFS(Overwash_Matrix!$C:$C,2019,Overwash_Matrix!CA:CA,1))</f>
        <v/>
      </c>
      <c r="BV39" s="53" t="str">
        <f>IF(COUNTIF(Overwash_Matrix!$C:$C,2019)=0,"",COUNTIFS(Overwash_Matrix!$C:$C,2019,Overwash_Matrix!CB:CB,1))</f>
        <v/>
      </c>
      <c r="BW39" s="53" t="str">
        <f>IF(COUNTIF(Overwash_Matrix!$C:$C,2019)=0,"",COUNTIFS(Overwash_Matrix!$C:$C,2019,Overwash_Matrix!CC:CC,1))</f>
        <v/>
      </c>
      <c r="BX39" s="53" t="str">
        <f>IF(COUNTIF(Overwash_Matrix!$C:$C,2019)=0,"",COUNTIFS(Overwash_Matrix!$C:$C,2019,Overwash_Matrix!CD:CD,1))</f>
        <v/>
      </c>
      <c r="BY39" s="53" t="str">
        <f>IF(COUNTIF(Overwash_Matrix!$C:$C,2019)=0,"",COUNTIFS(Overwash_Matrix!$C:$C,2019,Overwash_Matrix!CE:CE,1))</f>
        <v/>
      </c>
      <c r="BZ39" s="53" t="str">
        <f>IF(COUNTIF(Overwash_Matrix!$C:$C,2019)=0,"",COUNTIFS(Overwash_Matrix!$C:$C,2019,Overwash_Matrix!CF:CF,1))</f>
        <v/>
      </c>
      <c r="CA39" s="53" t="str">
        <f>IF(COUNTIF(Overwash_Matrix!$C:$C,2019)=0,"",COUNTIFS(Overwash_Matrix!$C:$C,2019,Overwash_Matrix!CG:CG,1))</f>
        <v/>
      </c>
      <c r="CB39" s="53" t="str">
        <f>IF(COUNTIF(Overwash_Matrix!$C:$C,2019)=0,"",COUNTIFS(Overwash_Matrix!$C:$C,2019,Overwash_Matrix!CH:CH,1))</f>
        <v/>
      </c>
      <c r="CC39" s="53" t="str">
        <f>IF(COUNTIF(Overwash_Matrix!$C:$C,2019)=0,"",COUNTIFS(Overwash_Matrix!$C:$C,2019,Overwash_Matrix!CI:CI,1))</f>
        <v/>
      </c>
      <c r="CD39" s="53" t="str">
        <f>IF(COUNTIF(Overwash_Matrix!$C:$C,2019)=0,"",COUNTIFS(Overwash_Matrix!$C:$C,2019,Overwash_Matrix!CJ:CJ,1))</f>
        <v/>
      </c>
      <c r="CE39" s="53" t="str">
        <f>IF(COUNTIF(Overwash_Matrix!$C:$C,2019)=0,"",COUNTIFS(Overwash_Matrix!$C:$C,2019,Overwash_Matrix!CK:CK,1))</f>
        <v/>
      </c>
      <c r="CF39" s="53" t="str">
        <f>IF(COUNTIF(Overwash_Matrix!$C:$C,2019)=0,"",COUNTIFS(Overwash_Matrix!$C:$C,2019,Overwash_Matrix!CL:CL,1))</f>
        <v/>
      </c>
      <c r="CG39" s="53" t="str">
        <f>IF(COUNTIF(Overwash_Matrix!$C:$C,2019)=0,"",COUNTIFS(Overwash_Matrix!$C:$C,2019,Overwash_Matrix!CM:CM,1))</f>
        <v/>
      </c>
      <c r="CH39" s="53" t="str">
        <f>IF(COUNTIF(Overwash_Matrix!$C:$C,2019)=0,"",COUNTIFS(Overwash_Matrix!$C:$C,2019,Overwash_Matrix!CN:CN,1))</f>
        <v/>
      </c>
      <c r="CI39" s="53" t="str">
        <f>IF(COUNTIF(Overwash_Matrix!$C:$C,2019)=0,"",COUNTIFS(Overwash_Matrix!$C:$C,2019,Overwash_Matrix!CO:CO,1))</f>
        <v/>
      </c>
      <c r="CJ39" s="53" t="str">
        <f>IF(COUNTIF(Overwash_Matrix!$C:$C,2019)=0,"",COUNTIFS(Overwash_Matrix!$C:$C,2019,Overwash_Matrix!CP:CP,1))</f>
        <v/>
      </c>
      <c r="CK39" s="53" t="str">
        <f>IF(COUNTIF(Overwash_Matrix!$C:$C,2019)=0,"",COUNTIFS(Overwash_Matrix!$C:$C,2019,Overwash_Matrix!CQ:CQ,1))</f>
        <v/>
      </c>
      <c r="CL39" s="53" t="str">
        <f>IF(COUNTIF(Overwash_Matrix!$C:$C,2019)=0,"",COUNTIFS(Overwash_Matrix!$C:$C,2019,Overwash_Matrix!CR:CR,1))</f>
        <v/>
      </c>
      <c r="CM39" s="53" t="str">
        <f>IF(COUNTIF(Overwash_Matrix!$C:$C,2019)=0,"",COUNTIFS(Overwash_Matrix!$C:$C,2019,Overwash_Matrix!CS:CS,1))</f>
        <v/>
      </c>
      <c r="CN39" s="53" t="str">
        <f>IF(COUNTIF(Overwash_Matrix!$C:$C,2019)=0,"",COUNTIFS(Overwash_Matrix!$C:$C,2019,Overwash_Matrix!CT:CT,1))</f>
        <v/>
      </c>
    </row>
    <row r="40" ht="13.5" customHeight="1">
      <c r="A40" s="86">
        <v>2020.0</v>
      </c>
      <c r="B40" s="87">
        <f>COUNTIF(Overwash_Matrix!$C:$C,2020)</f>
        <v>0</v>
      </c>
      <c r="C40" s="57" t="str">
        <f>IF(COUNTIF(Overwash_Matrix!$C:$C,2020)=0,"",COUNTIFS(Overwash_Matrix!$C:$C,2020,Overwash_Matrix!I:I,1))</f>
        <v/>
      </c>
      <c r="D40" s="57" t="str">
        <f>IF(COUNTIF(Overwash_Matrix!$C:$C,2020)=0,"",COUNTIFS(Overwash_Matrix!$C:$C,2020,Overwash_Matrix!J:J,1))</f>
        <v/>
      </c>
      <c r="E40" s="57" t="str">
        <f>IF(COUNTIF(Overwash_Matrix!$C:$C,2020)=0,"",COUNTIFS(Overwash_Matrix!$C:$C,2020,Overwash_Matrix!K:K,1))</f>
        <v/>
      </c>
      <c r="F40" s="57" t="str">
        <f>IF(COUNTIF(Overwash_Matrix!$C:$C,2020)=0,"",COUNTIFS(Overwash_Matrix!$C:$C,2020,Overwash_Matrix!L:L,1))</f>
        <v/>
      </c>
      <c r="G40" s="57" t="str">
        <f>IF(COUNTIF(Overwash_Matrix!$C:$C,2020)=0,"",COUNTIFS(Overwash_Matrix!$C:$C,2020,Overwash_Matrix!M:M,1))</f>
        <v/>
      </c>
      <c r="H40" s="57" t="str">
        <f>IF(COUNTIF(Overwash_Matrix!$C:$C,2020)=0,"",COUNTIFS(Overwash_Matrix!$C:$C,2020,Overwash_Matrix!N:N,1))</f>
        <v/>
      </c>
      <c r="I40" s="57" t="str">
        <f>IF(COUNTIF(Overwash_Matrix!$C:$C,2020)=0,"",COUNTIFS(Overwash_Matrix!$C:$C,2020,Overwash_Matrix!O:O,1))</f>
        <v/>
      </c>
      <c r="J40" s="57" t="str">
        <f>IF(COUNTIF(Overwash_Matrix!$C:$C,2020)=0,"",COUNTIFS(Overwash_Matrix!$C:$C,2020,Overwash_Matrix!P:P,1))</f>
        <v/>
      </c>
      <c r="K40" s="57" t="str">
        <f>IF(COUNTIF(Overwash_Matrix!$C:$C,2020)=0,"",COUNTIFS(Overwash_Matrix!$C:$C,2020,Overwash_Matrix!Q:Q,1))</f>
        <v/>
      </c>
      <c r="L40" s="57" t="str">
        <f>IF(COUNTIF(Overwash_Matrix!$C:$C,2020)=0,"",COUNTIFS(Overwash_Matrix!$C:$C,2020,Overwash_Matrix!R:R,1))</f>
        <v/>
      </c>
      <c r="M40" s="57" t="str">
        <f>IF(COUNTIF(Overwash_Matrix!$C:$C,2020)=0,"",COUNTIFS(Overwash_Matrix!$C:$C,2020,Overwash_Matrix!S:S,1))</f>
        <v/>
      </c>
      <c r="N40" s="57" t="str">
        <f>IF(COUNTIF(Overwash_Matrix!$C:$C,2020)=0,"",COUNTIFS(Overwash_Matrix!$C:$C,2020,Overwash_Matrix!T:T,1))</f>
        <v/>
      </c>
      <c r="O40" s="57" t="str">
        <f>IF(COUNTIF(Overwash_Matrix!$C:$C,2020)=0,"",COUNTIFS(Overwash_Matrix!$C:$C,2020,Overwash_Matrix!U:U,1))</f>
        <v/>
      </c>
      <c r="P40" s="57" t="str">
        <f>IF(COUNTIF(Overwash_Matrix!$C:$C,2020)=0,"",COUNTIFS(Overwash_Matrix!$C:$C,2020,Overwash_Matrix!V:V,1))</f>
        <v/>
      </c>
      <c r="Q40" s="57" t="str">
        <f>IF(COUNTIF(Overwash_Matrix!$C:$C,2020)=0,"",COUNTIFS(Overwash_Matrix!$C:$C,2020,Overwash_Matrix!W:W,1))</f>
        <v/>
      </c>
      <c r="R40" s="57" t="str">
        <f>IF(COUNTIF(Overwash_Matrix!$C:$C,2020)=0,"",COUNTIFS(Overwash_Matrix!$C:$C,2020,Overwash_Matrix!X:X,1))</f>
        <v/>
      </c>
      <c r="S40" s="57" t="str">
        <f>IF(COUNTIF(Overwash_Matrix!$C:$C,2020)=0,"",COUNTIFS(Overwash_Matrix!$C:$C,2020,Overwash_Matrix!Y:Y,1))</f>
        <v/>
      </c>
      <c r="T40" s="57" t="str">
        <f>IF(COUNTIF(Overwash_Matrix!$C:$C,2020)=0,"",COUNTIFS(Overwash_Matrix!$C:$C,2020,Overwash_Matrix!Z:Z,1))</f>
        <v/>
      </c>
      <c r="U40" s="57" t="str">
        <f>IF(COUNTIF(Overwash_Matrix!$C:$C,2020)=0,"",COUNTIFS(Overwash_Matrix!$C:$C,2020,Overwash_Matrix!AA:AA,1))</f>
        <v/>
      </c>
      <c r="V40" s="57" t="str">
        <f>IF(COUNTIF(Overwash_Matrix!$C:$C,2020)=0,"",COUNTIFS(Overwash_Matrix!$C:$C,2020,Overwash_Matrix!AB:AB,1))</f>
        <v/>
      </c>
      <c r="W40" s="57" t="str">
        <f>IF(COUNTIF(Overwash_Matrix!$C:$C,2020)=0,"",COUNTIFS(Overwash_Matrix!$C:$C,2020,Overwash_Matrix!AC:AC,1))</f>
        <v/>
      </c>
      <c r="X40" s="57" t="str">
        <f>IF(COUNTIF(Overwash_Matrix!$C:$C,2020)=0,"",COUNTIFS(Overwash_Matrix!$C:$C,2020,Overwash_Matrix!AD:AD,1))</f>
        <v/>
      </c>
      <c r="Y40" s="57" t="str">
        <f>IF(COUNTIF(Overwash_Matrix!$C:$C,2020)=0,"",COUNTIFS(Overwash_Matrix!$C:$C,2020,Overwash_Matrix!AE:AE,1))</f>
        <v/>
      </c>
      <c r="Z40" s="57" t="str">
        <f>IF(COUNTIF(Overwash_Matrix!$C:$C,2020)=0,"",COUNTIFS(Overwash_Matrix!$C:$C,2020,Overwash_Matrix!AF:AF,1))</f>
        <v/>
      </c>
      <c r="AA40" s="57" t="str">
        <f>IF(COUNTIF(Overwash_Matrix!$C:$C,2020)=0,"",COUNTIFS(Overwash_Matrix!$C:$C,2020,Overwash_Matrix!AG:AG,1))</f>
        <v/>
      </c>
      <c r="AB40" s="57" t="str">
        <f>IF(COUNTIF(Overwash_Matrix!$C:$C,2020)=0,"",COUNTIFS(Overwash_Matrix!$C:$C,2020,Overwash_Matrix!AH:AH,1))</f>
        <v/>
      </c>
      <c r="AC40" s="57" t="str">
        <f>IF(COUNTIF(Overwash_Matrix!$C:$C,2020)=0,"",COUNTIFS(Overwash_Matrix!$C:$C,2020,Overwash_Matrix!AI:AI,1))</f>
        <v/>
      </c>
      <c r="AD40" s="57" t="str">
        <f>IF(COUNTIF(Overwash_Matrix!$C:$C,2020)=0,"",COUNTIFS(Overwash_Matrix!$C:$C,2020,Overwash_Matrix!AJ:AJ,1))</f>
        <v/>
      </c>
      <c r="AE40" s="57" t="str">
        <f>IF(COUNTIF(Overwash_Matrix!$C:$C,2020)=0,"",COUNTIFS(Overwash_Matrix!$C:$C,2020,Overwash_Matrix!AK:AK,1))</f>
        <v/>
      </c>
      <c r="AF40" s="57" t="str">
        <f>IF(COUNTIF(Overwash_Matrix!$C:$C,2020)=0,"",COUNTIFS(Overwash_Matrix!$C:$C,2020,Overwash_Matrix!AL:AL,1))</f>
        <v/>
      </c>
      <c r="AG40" s="57" t="str">
        <f>IF(COUNTIF(Overwash_Matrix!$C:$C,2020)=0,"",COUNTIFS(Overwash_Matrix!$C:$C,2020,Overwash_Matrix!AM:AM,1))</f>
        <v/>
      </c>
      <c r="AH40" s="57" t="str">
        <f>IF(COUNTIF(Overwash_Matrix!$C:$C,2020)=0,"",COUNTIFS(Overwash_Matrix!$C:$C,2020,Overwash_Matrix!AN:AN,1))</f>
        <v/>
      </c>
      <c r="AI40" s="57" t="str">
        <f>IF(COUNTIF(Overwash_Matrix!$C:$C,2020)=0,"",COUNTIFS(Overwash_Matrix!$C:$C,2020,Overwash_Matrix!AO:AO,1))</f>
        <v/>
      </c>
      <c r="AJ40" s="57" t="str">
        <f>IF(COUNTIF(Overwash_Matrix!$C:$C,2020)=0,"",COUNTIFS(Overwash_Matrix!$C:$C,2020,Overwash_Matrix!AP:AP,1))</f>
        <v/>
      </c>
      <c r="AK40" s="57" t="str">
        <f>IF(COUNTIF(Overwash_Matrix!$C:$C,2020)=0,"",COUNTIFS(Overwash_Matrix!$C:$C,2020,Overwash_Matrix!AQ:AQ,1))</f>
        <v/>
      </c>
      <c r="AL40" s="57" t="str">
        <f>IF(COUNTIF(Overwash_Matrix!$C:$C,2020)=0,"",COUNTIFS(Overwash_Matrix!$C:$C,2020,Overwash_Matrix!AR:AR,1))</f>
        <v/>
      </c>
      <c r="AM40" s="57" t="str">
        <f>IF(COUNTIF(Overwash_Matrix!$C:$C,2020)=0,"",COUNTIFS(Overwash_Matrix!$C:$C,2020,Overwash_Matrix!AS:AS,1))</f>
        <v/>
      </c>
      <c r="AN40" s="57" t="str">
        <f>IF(COUNTIF(Overwash_Matrix!$C:$C,2020)=0,"",COUNTIFS(Overwash_Matrix!$C:$C,2020,Overwash_Matrix!AT:AT,1))</f>
        <v/>
      </c>
      <c r="AO40" s="57" t="str">
        <f>IF(COUNTIF(Overwash_Matrix!$C:$C,2020)=0,"",COUNTIFS(Overwash_Matrix!$C:$C,2020,Overwash_Matrix!AU:AU,1))</f>
        <v/>
      </c>
      <c r="AP40" s="57" t="str">
        <f>IF(COUNTIF(Overwash_Matrix!$C:$C,2020)=0,"",COUNTIFS(Overwash_Matrix!$C:$C,2020,Overwash_Matrix!AV:AV,1))</f>
        <v/>
      </c>
      <c r="AQ40" s="57" t="str">
        <f>IF(COUNTIF(Overwash_Matrix!$C:$C,2020)=0,"",COUNTIFS(Overwash_Matrix!$C:$C,2020,Overwash_Matrix!AW:AW,1))</f>
        <v/>
      </c>
      <c r="AR40" s="57" t="str">
        <f>IF(COUNTIF(Overwash_Matrix!$C:$C,2020)=0,"",COUNTIFS(Overwash_Matrix!$C:$C,2020,Overwash_Matrix!AX:AX,1))</f>
        <v/>
      </c>
      <c r="AS40" s="57" t="str">
        <f>IF(COUNTIF(Overwash_Matrix!$C:$C,2020)=0,"",COUNTIFS(Overwash_Matrix!$C:$C,2020,Overwash_Matrix!AY:AY,1))</f>
        <v/>
      </c>
      <c r="AT40" s="57" t="str">
        <f>IF(COUNTIF(Overwash_Matrix!$C:$C,2020)=0,"",COUNTIFS(Overwash_Matrix!$C:$C,2020,Overwash_Matrix!AZ:AZ,1))</f>
        <v/>
      </c>
      <c r="AU40" s="57" t="str">
        <f>IF(COUNTIF(Overwash_Matrix!$C:$C,2020)=0,"",COUNTIFS(Overwash_Matrix!$C:$C,2020,Overwash_Matrix!BA:BA,1))</f>
        <v/>
      </c>
      <c r="AV40" s="57" t="str">
        <f>IF(COUNTIF(Overwash_Matrix!$C:$C,2020)=0,"",COUNTIFS(Overwash_Matrix!$C:$C,2020,Overwash_Matrix!BB:BB,1))</f>
        <v/>
      </c>
      <c r="AW40" s="57" t="str">
        <f>IF(COUNTIF(Overwash_Matrix!$C:$C,2020)=0,"",COUNTIFS(Overwash_Matrix!$C:$C,2020,Overwash_Matrix!BC:BC,1))</f>
        <v/>
      </c>
      <c r="AX40" s="57" t="str">
        <f>IF(COUNTIF(Overwash_Matrix!$C:$C,2020)=0,"",COUNTIFS(Overwash_Matrix!$C:$C,2020,Overwash_Matrix!BD:BD,1))</f>
        <v/>
      </c>
      <c r="AY40" s="57" t="str">
        <f>IF(COUNTIF(Overwash_Matrix!$C:$C,2020)=0,"",COUNTIFS(Overwash_Matrix!$C:$C,2020,Overwash_Matrix!BE:BE,1))</f>
        <v/>
      </c>
      <c r="AZ40" s="57" t="str">
        <f>IF(COUNTIF(Overwash_Matrix!$C:$C,2020)=0,"",COUNTIFS(Overwash_Matrix!$C:$C,2020,Overwash_Matrix!BF:BF,1))</f>
        <v/>
      </c>
      <c r="BA40" s="57" t="str">
        <f>IF(COUNTIF(Overwash_Matrix!$C:$C,2020)=0,"",COUNTIFS(Overwash_Matrix!$C:$C,2020,Overwash_Matrix!BG:BG,1))</f>
        <v/>
      </c>
      <c r="BB40" s="57" t="str">
        <f>IF(COUNTIF(Overwash_Matrix!$C:$C,2020)=0,"",COUNTIFS(Overwash_Matrix!$C:$C,2020,Overwash_Matrix!BH:BH,1))</f>
        <v/>
      </c>
      <c r="BC40" s="57" t="str">
        <f>IF(COUNTIF(Overwash_Matrix!$C:$C,2020)=0,"",COUNTIFS(Overwash_Matrix!$C:$C,2020,Overwash_Matrix!BI:BI,1))</f>
        <v/>
      </c>
      <c r="BD40" s="57" t="str">
        <f>IF(COUNTIF(Overwash_Matrix!$C:$C,2020)=0,"",COUNTIFS(Overwash_Matrix!$C:$C,2020,Overwash_Matrix!BJ:BJ,1))</f>
        <v/>
      </c>
      <c r="BE40" s="57" t="str">
        <f>IF(COUNTIF(Overwash_Matrix!$C:$C,2020)=0,"",COUNTIFS(Overwash_Matrix!$C:$C,2020,Overwash_Matrix!BK:BK,1))</f>
        <v/>
      </c>
      <c r="BF40" s="57" t="str">
        <f>IF(COUNTIF(Overwash_Matrix!$C:$C,2020)=0,"",COUNTIFS(Overwash_Matrix!$C:$C,2020,Overwash_Matrix!BL:BL,1))</f>
        <v/>
      </c>
      <c r="BG40" s="57" t="str">
        <f>IF(COUNTIF(Overwash_Matrix!$C:$C,2020)=0,"",COUNTIFS(Overwash_Matrix!$C:$C,2020,Overwash_Matrix!BM:BM,1))</f>
        <v/>
      </c>
      <c r="BH40" s="57" t="str">
        <f>IF(COUNTIF(Overwash_Matrix!$C:$C,2020)=0,"",COUNTIFS(Overwash_Matrix!$C:$C,2020,Overwash_Matrix!BN:BN,1))</f>
        <v/>
      </c>
      <c r="BI40" s="57" t="str">
        <f>IF(COUNTIF(Overwash_Matrix!$C:$C,2020)=0,"",COUNTIFS(Overwash_Matrix!$C:$C,2020,Overwash_Matrix!BO:BO,1))</f>
        <v/>
      </c>
      <c r="BJ40" s="57" t="str">
        <f>IF(COUNTIF(Overwash_Matrix!$C:$C,2020)=0,"",COUNTIFS(Overwash_Matrix!$C:$C,2020,Overwash_Matrix!BP:BP,1))</f>
        <v/>
      </c>
      <c r="BK40" s="57" t="str">
        <f>IF(COUNTIF(Overwash_Matrix!$C:$C,2020)=0,"",COUNTIFS(Overwash_Matrix!$C:$C,2020,Overwash_Matrix!BQ:BQ,1))</f>
        <v/>
      </c>
      <c r="BL40" s="57" t="str">
        <f>IF(COUNTIF(Overwash_Matrix!$C:$C,2020)=0,"",COUNTIFS(Overwash_Matrix!$C:$C,2020,Overwash_Matrix!BR:BR,1))</f>
        <v/>
      </c>
      <c r="BM40" s="57" t="str">
        <f>IF(COUNTIF(Overwash_Matrix!$C:$C,2020)=0,"",COUNTIFS(Overwash_Matrix!$C:$C,2020,Overwash_Matrix!BS:BS,1))</f>
        <v/>
      </c>
      <c r="BN40" s="57" t="str">
        <f>IF(COUNTIF(Overwash_Matrix!$C:$C,2020)=0,"",COUNTIFS(Overwash_Matrix!$C:$C,2020,Overwash_Matrix!BT:BT,1))</f>
        <v/>
      </c>
      <c r="BO40" s="57" t="str">
        <f>IF(COUNTIF(Overwash_Matrix!$C:$C,2020)=0,"",COUNTIFS(Overwash_Matrix!$C:$C,2020,Overwash_Matrix!BU:BU,1))</f>
        <v/>
      </c>
      <c r="BP40" s="57" t="str">
        <f>IF(COUNTIF(Overwash_Matrix!$C:$C,2020)=0,"",COUNTIFS(Overwash_Matrix!$C:$C,2020,Overwash_Matrix!BV:BV,1))</f>
        <v/>
      </c>
      <c r="BQ40" s="57" t="str">
        <f>IF(COUNTIF(Overwash_Matrix!$C:$C,2020)=0,"",COUNTIFS(Overwash_Matrix!$C:$C,2020,Overwash_Matrix!BW:BW,1))</f>
        <v/>
      </c>
      <c r="BR40" s="57" t="str">
        <f>IF(COUNTIF(Overwash_Matrix!$C:$C,2020)=0,"",COUNTIFS(Overwash_Matrix!$C:$C,2020,Overwash_Matrix!BX:BX,1))</f>
        <v/>
      </c>
      <c r="BS40" s="57" t="str">
        <f>IF(COUNTIF(Overwash_Matrix!$C:$C,2020)=0,"",COUNTIFS(Overwash_Matrix!$C:$C,2020,Overwash_Matrix!BY:BY,1))</f>
        <v/>
      </c>
      <c r="BT40" s="57" t="str">
        <f>IF(COUNTIF(Overwash_Matrix!$C:$C,2020)=0,"",COUNTIFS(Overwash_Matrix!$C:$C,2020,Overwash_Matrix!BZ:BZ,1))</f>
        <v/>
      </c>
      <c r="BU40" s="57" t="str">
        <f>IF(COUNTIF(Overwash_Matrix!$C:$C,2020)=0,"",COUNTIFS(Overwash_Matrix!$C:$C,2020,Overwash_Matrix!CA:CA,1))</f>
        <v/>
      </c>
      <c r="BV40" s="57" t="str">
        <f>IF(COUNTIF(Overwash_Matrix!$C:$C,2020)=0,"",COUNTIFS(Overwash_Matrix!$C:$C,2020,Overwash_Matrix!CB:CB,1))</f>
        <v/>
      </c>
      <c r="BW40" s="57" t="str">
        <f>IF(COUNTIF(Overwash_Matrix!$C:$C,2020)=0,"",COUNTIFS(Overwash_Matrix!$C:$C,2020,Overwash_Matrix!CC:CC,1))</f>
        <v/>
      </c>
      <c r="BX40" s="57" t="str">
        <f>IF(COUNTIF(Overwash_Matrix!$C:$C,2020)=0,"",COUNTIFS(Overwash_Matrix!$C:$C,2020,Overwash_Matrix!CD:CD,1))</f>
        <v/>
      </c>
      <c r="BY40" s="57" t="str">
        <f>IF(COUNTIF(Overwash_Matrix!$C:$C,2020)=0,"",COUNTIFS(Overwash_Matrix!$C:$C,2020,Overwash_Matrix!CE:CE,1))</f>
        <v/>
      </c>
      <c r="BZ40" s="57" t="str">
        <f>IF(COUNTIF(Overwash_Matrix!$C:$C,2020)=0,"",COUNTIFS(Overwash_Matrix!$C:$C,2020,Overwash_Matrix!CF:CF,1))</f>
        <v/>
      </c>
      <c r="CA40" s="57" t="str">
        <f>IF(COUNTIF(Overwash_Matrix!$C:$C,2020)=0,"",COUNTIFS(Overwash_Matrix!$C:$C,2020,Overwash_Matrix!CG:CG,1))</f>
        <v/>
      </c>
      <c r="CB40" s="57" t="str">
        <f>IF(COUNTIF(Overwash_Matrix!$C:$C,2020)=0,"",COUNTIFS(Overwash_Matrix!$C:$C,2020,Overwash_Matrix!CH:CH,1))</f>
        <v/>
      </c>
      <c r="CC40" s="57" t="str">
        <f>IF(COUNTIF(Overwash_Matrix!$C:$C,2020)=0,"",COUNTIFS(Overwash_Matrix!$C:$C,2020,Overwash_Matrix!CI:CI,1))</f>
        <v/>
      </c>
      <c r="CD40" s="57" t="str">
        <f>IF(COUNTIF(Overwash_Matrix!$C:$C,2020)=0,"",COUNTIFS(Overwash_Matrix!$C:$C,2020,Overwash_Matrix!CJ:CJ,1))</f>
        <v/>
      </c>
      <c r="CE40" s="57" t="str">
        <f>IF(COUNTIF(Overwash_Matrix!$C:$C,2020)=0,"",COUNTIFS(Overwash_Matrix!$C:$C,2020,Overwash_Matrix!CK:CK,1))</f>
        <v/>
      </c>
      <c r="CF40" s="57" t="str">
        <f>IF(COUNTIF(Overwash_Matrix!$C:$C,2020)=0,"",COUNTIFS(Overwash_Matrix!$C:$C,2020,Overwash_Matrix!CL:CL,1))</f>
        <v/>
      </c>
      <c r="CG40" s="57" t="str">
        <f>IF(COUNTIF(Overwash_Matrix!$C:$C,2020)=0,"",COUNTIFS(Overwash_Matrix!$C:$C,2020,Overwash_Matrix!CM:CM,1))</f>
        <v/>
      </c>
      <c r="CH40" s="57" t="str">
        <f>IF(COUNTIF(Overwash_Matrix!$C:$C,2020)=0,"",COUNTIFS(Overwash_Matrix!$C:$C,2020,Overwash_Matrix!CN:CN,1))</f>
        <v/>
      </c>
      <c r="CI40" s="57" t="str">
        <f>IF(COUNTIF(Overwash_Matrix!$C:$C,2020)=0,"",COUNTIFS(Overwash_Matrix!$C:$C,2020,Overwash_Matrix!CO:CO,1))</f>
        <v/>
      </c>
      <c r="CJ40" s="57" t="str">
        <f>IF(COUNTIF(Overwash_Matrix!$C:$C,2020)=0,"",COUNTIFS(Overwash_Matrix!$C:$C,2020,Overwash_Matrix!CP:CP,1))</f>
        <v/>
      </c>
      <c r="CK40" s="57" t="str">
        <f>IF(COUNTIF(Overwash_Matrix!$C:$C,2020)=0,"",COUNTIFS(Overwash_Matrix!$C:$C,2020,Overwash_Matrix!CQ:CQ,1))</f>
        <v/>
      </c>
      <c r="CL40" s="57" t="str">
        <f>IF(COUNTIF(Overwash_Matrix!$C:$C,2020)=0,"",COUNTIFS(Overwash_Matrix!$C:$C,2020,Overwash_Matrix!CR:CR,1))</f>
        <v/>
      </c>
      <c r="CM40" s="57" t="str">
        <f>IF(COUNTIF(Overwash_Matrix!$C:$C,2020)=0,"",COUNTIFS(Overwash_Matrix!$C:$C,2020,Overwash_Matrix!CS:CS,1))</f>
        <v/>
      </c>
      <c r="CN40" s="57" t="str">
        <f>IF(COUNTIF(Overwash_Matrix!$C:$C,2020)=0,"",COUNTIFS(Overwash_Matrix!$C:$C,2020,Overwash_Matrix!CT:CT,1))</f>
        <v/>
      </c>
    </row>
    <row r="41" ht="13.5" customHeight="1">
      <c r="A41" s="88">
        <v>2021.0</v>
      </c>
      <c r="B41" s="89">
        <f>COUNTIF(Overwash_Matrix!$C:$C,2021)</f>
        <v>0</v>
      </c>
      <c r="C41" s="53" t="str">
        <f>IF(COUNTIF(Overwash_Matrix!$C:$C,2021)=0,"",COUNTIFS(Overwash_Matrix!$C:$C,2021,Overwash_Matrix!I:I,1))</f>
        <v/>
      </c>
      <c r="D41" s="53" t="str">
        <f>IF(COUNTIF(Overwash_Matrix!$C:$C,2021)=0,"",COUNTIFS(Overwash_Matrix!$C:$C,2021,Overwash_Matrix!J:J,1))</f>
        <v/>
      </c>
      <c r="E41" s="53" t="str">
        <f>IF(COUNTIF(Overwash_Matrix!$C:$C,2021)=0,"",COUNTIFS(Overwash_Matrix!$C:$C,2021,Overwash_Matrix!K:K,1))</f>
        <v/>
      </c>
      <c r="F41" s="53" t="str">
        <f>IF(COUNTIF(Overwash_Matrix!$C:$C,2021)=0,"",COUNTIFS(Overwash_Matrix!$C:$C,2021,Overwash_Matrix!L:L,1))</f>
        <v/>
      </c>
      <c r="G41" s="53" t="str">
        <f>IF(COUNTIF(Overwash_Matrix!$C:$C,2021)=0,"",COUNTIFS(Overwash_Matrix!$C:$C,2021,Overwash_Matrix!M:M,1))</f>
        <v/>
      </c>
      <c r="H41" s="53" t="str">
        <f>IF(COUNTIF(Overwash_Matrix!$C:$C,2021)=0,"",COUNTIFS(Overwash_Matrix!$C:$C,2021,Overwash_Matrix!N:N,1))</f>
        <v/>
      </c>
      <c r="I41" s="53" t="str">
        <f>IF(COUNTIF(Overwash_Matrix!$C:$C,2021)=0,"",COUNTIFS(Overwash_Matrix!$C:$C,2021,Overwash_Matrix!O:O,1))</f>
        <v/>
      </c>
      <c r="J41" s="53" t="str">
        <f>IF(COUNTIF(Overwash_Matrix!$C:$C,2021)=0,"",COUNTIFS(Overwash_Matrix!$C:$C,2021,Overwash_Matrix!P:P,1))</f>
        <v/>
      </c>
      <c r="K41" s="53" t="str">
        <f>IF(COUNTIF(Overwash_Matrix!$C:$C,2021)=0,"",COUNTIFS(Overwash_Matrix!$C:$C,2021,Overwash_Matrix!Q:Q,1))</f>
        <v/>
      </c>
      <c r="L41" s="53" t="str">
        <f>IF(COUNTIF(Overwash_Matrix!$C:$C,2021)=0,"",COUNTIFS(Overwash_Matrix!$C:$C,2021,Overwash_Matrix!R:R,1))</f>
        <v/>
      </c>
      <c r="M41" s="53" t="str">
        <f>IF(COUNTIF(Overwash_Matrix!$C:$C,2021)=0,"",COUNTIFS(Overwash_Matrix!$C:$C,2021,Overwash_Matrix!S:S,1))</f>
        <v/>
      </c>
      <c r="N41" s="53" t="str">
        <f>IF(COUNTIF(Overwash_Matrix!$C:$C,2021)=0,"",COUNTIFS(Overwash_Matrix!$C:$C,2021,Overwash_Matrix!T:T,1))</f>
        <v/>
      </c>
      <c r="O41" s="53" t="str">
        <f>IF(COUNTIF(Overwash_Matrix!$C:$C,2021)=0,"",COUNTIFS(Overwash_Matrix!$C:$C,2021,Overwash_Matrix!U:U,1))</f>
        <v/>
      </c>
      <c r="P41" s="53" t="str">
        <f>IF(COUNTIF(Overwash_Matrix!$C:$C,2021)=0,"",COUNTIFS(Overwash_Matrix!$C:$C,2021,Overwash_Matrix!V:V,1))</f>
        <v/>
      </c>
      <c r="Q41" s="53" t="str">
        <f>IF(COUNTIF(Overwash_Matrix!$C:$C,2021)=0,"",COUNTIFS(Overwash_Matrix!$C:$C,2021,Overwash_Matrix!W:W,1))</f>
        <v/>
      </c>
      <c r="R41" s="53" t="str">
        <f>IF(COUNTIF(Overwash_Matrix!$C:$C,2021)=0,"",COUNTIFS(Overwash_Matrix!$C:$C,2021,Overwash_Matrix!X:X,1))</f>
        <v/>
      </c>
      <c r="S41" s="53" t="str">
        <f>IF(COUNTIF(Overwash_Matrix!$C:$C,2021)=0,"",COUNTIFS(Overwash_Matrix!$C:$C,2021,Overwash_Matrix!Y:Y,1))</f>
        <v/>
      </c>
      <c r="T41" s="53" t="str">
        <f>IF(COUNTIF(Overwash_Matrix!$C:$C,2021)=0,"",COUNTIFS(Overwash_Matrix!$C:$C,2021,Overwash_Matrix!Z:Z,1))</f>
        <v/>
      </c>
      <c r="U41" s="53" t="str">
        <f>IF(COUNTIF(Overwash_Matrix!$C:$C,2021)=0,"",COUNTIFS(Overwash_Matrix!$C:$C,2021,Overwash_Matrix!AA:AA,1))</f>
        <v/>
      </c>
      <c r="V41" s="53" t="str">
        <f>IF(COUNTIF(Overwash_Matrix!$C:$C,2021)=0,"",COUNTIFS(Overwash_Matrix!$C:$C,2021,Overwash_Matrix!AB:AB,1))</f>
        <v/>
      </c>
      <c r="W41" s="53" t="str">
        <f>IF(COUNTIF(Overwash_Matrix!$C:$C,2021)=0,"",COUNTIFS(Overwash_Matrix!$C:$C,2021,Overwash_Matrix!AC:AC,1))</f>
        <v/>
      </c>
      <c r="X41" s="53" t="str">
        <f>IF(COUNTIF(Overwash_Matrix!$C:$C,2021)=0,"",COUNTIFS(Overwash_Matrix!$C:$C,2021,Overwash_Matrix!AD:AD,1))</f>
        <v/>
      </c>
      <c r="Y41" s="53" t="str">
        <f>IF(COUNTIF(Overwash_Matrix!$C:$C,2021)=0,"",COUNTIFS(Overwash_Matrix!$C:$C,2021,Overwash_Matrix!AE:AE,1))</f>
        <v/>
      </c>
      <c r="Z41" s="53" t="str">
        <f>IF(COUNTIF(Overwash_Matrix!$C:$C,2021)=0,"",COUNTIFS(Overwash_Matrix!$C:$C,2021,Overwash_Matrix!AF:AF,1))</f>
        <v/>
      </c>
      <c r="AA41" s="53" t="str">
        <f>IF(COUNTIF(Overwash_Matrix!$C:$C,2021)=0,"",COUNTIFS(Overwash_Matrix!$C:$C,2021,Overwash_Matrix!AG:AG,1))</f>
        <v/>
      </c>
      <c r="AB41" s="53" t="str">
        <f>IF(COUNTIF(Overwash_Matrix!$C:$C,2021)=0,"",COUNTIFS(Overwash_Matrix!$C:$C,2021,Overwash_Matrix!AH:AH,1))</f>
        <v/>
      </c>
      <c r="AC41" s="53" t="str">
        <f>IF(COUNTIF(Overwash_Matrix!$C:$C,2021)=0,"",COUNTIFS(Overwash_Matrix!$C:$C,2021,Overwash_Matrix!AI:AI,1))</f>
        <v/>
      </c>
      <c r="AD41" s="53" t="str">
        <f>IF(COUNTIF(Overwash_Matrix!$C:$C,2021)=0,"",COUNTIFS(Overwash_Matrix!$C:$C,2021,Overwash_Matrix!AJ:AJ,1))</f>
        <v/>
      </c>
      <c r="AE41" s="53" t="str">
        <f>IF(COUNTIF(Overwash_Matrix!$C:$C,2021)=0,"",COUNTIFS(Overwash_Matrix!$C:$C,2021,Overwash_Matrix!AK:AK,1))</f>
        <v/>
      </c>
      <c r="AF41" s="53" t="str">
        <f>IF(COUNTIF(Overwash_Matrix!$C:$C,2021)=0,"",COUNTIFS(Overwash_Matrix!$C:$C,2021,Overwash_Matrix!AL:AL,1))</f>
        <v/>
      </c>
      <c r="AG41" s="53" t="str">
        <f>IF(COUNTIF(Overwash_Matrix!$C:$C,2021)=0,"",COUNTIFS(Overwash_Matrix!$C:$C,2021,Overwash_Matrix!AM:AM,1))</f>
        <v/>
      </c>
      <c r="AH41" s="53" t="str">
        <f>IF(COUNTIF(Overwash_Matrix!$C:$C,2021)=0,"",COUNTIFS(Overwash_Matrix!$C:$C,2021,Overwash_Matrix!AN:AN,1))</f>
        <v/>
      </c>
      <c r="AI41" s="53" t="str">
        <f>IF(COUNTIF(Overwash_Matrix!$C:$C,2021)=0,"",COUNTIFS(Overwash_Matrix!$C:$C,2021,Overwash_Matrix!AO:AO,1))</f>
        <v/>
      </c>
      <c r="AJ41" s="53" t="str">
        <f>IF(COUNTIF(Overwash_Matrix!$C:$C,2021)=0,"",COUNTIFS(Overwash_Matrix!$C:$C,2021,Overwash_Matrix!AP:AP,1))</f>
        <v/>
      </c>
      <c r="AK41" s="53" t="str">
        <f>IF(COUNTIF(Overwash_Matrix!$C:$C,2021)=0,"",COUNTIFS(Overwash_Matrix!$C:$C,2021,Overwash_Matrix!AQ:AQ,1))</f>
        <v/>
      </c>
      <c r="AL41" s="53" t="str">
        <f>IF(COUNTIF(Overwash_Matrix!$C:$C,2021)=0,"",COUNTIFS(Overwash_Matrix!$C:$C,2021,Overwash_Matrix!AR:AR,1))</f>
        <v/>
      </c>
      <c r="AM41" s="53" t="str">
        <f>IF(COUNTIF(Overwash_Matrix!$C:$C,2021)=0,"",COUNTIFS(Overwash_Matrix!$C:$C,2021,Overwash_Matrix!AS:AS,1))</f>
        <v/>
      </c>
      <c r="AN41" s="53" t="str">
        <f>IF(COUNTIF(Overwash_Matrix!$C:$C,2021)=0,"",COUNTIFS(Overwash_Matrix!$C:$C,2021,Overwash_Matrix!AT:AT,1))</f>
        <v/>
      </c>
      <c r="AO41" s="53" t="str">
        <f>IF(COUNTIF(Overwash_Matrix!$C:$C,2021)=0,"",COUNTIFS(Overwash_Matrix!$C:$C,2021,Overwash_Matrix!AU:AU,1))</f>
        <v/>
      </c>
      <c r="AP41" s="53" t="str">
        <f>IF(COUNTIF(Overwash_Matrix!$C:$C,2021)=0,"",COUNTIFS(Overwash_Matrix!$C:$C,2021,Overwash_Matrix!AV:AV,1))</f>
        <v/>
      </c>
      <c r="AQ41" s="53" t="str">
        <f>IF(COUNTIF(Overwash_Matrix!$C:$C,2021)=0,"",COUNTIFS(Overwash_Matrix!$C:$C,2021,Overwash_Matrix!AW:AW,1))</f>
        <v/>
      </c>
      <c r="AR41" s="53" t="str">
        <f>IF(COUNTIF(Overwash_Matrix!$C:$C,2021)=0,"",COUNTIFS(Overwash_Matrix!$C:$C,2021,Overwash_Matrix!AX:AX,1))</f>
        <v/>
      </c>
      <c r="AS41" s="53" t="str">
        <f>IF(COUNTIF(Overwash_Matrix!$C:$C,2021)=0,"",COUNTIFS(Overwash_Matrix!$C:$C,2021,Overwash_Matrix!AY:AY,1))</f>
        <v/>
      </c>
      <c r="AT41" s="53" t="str">
        <f>IF(COUNTIF(Overwash_Matrix!$C:$C,2021)=0,"",COUNTIFS(Overwash_Matrix!$C:$C,2021,Overwash_Matrix!AZ:AZ,1))</f>
        <v/>
      </c>
      <c r="AU41" s="53" t="str">
        <f>IF(COUNTIF(Overwash_Matrix!$C:$C,2021)=0,"",COUNTIFS(Overwash_Matrix!$C:$C,2021,Overwash_Matrix!BA:BA,1))</f>
        <v/>
      </c>
      <c r="AV41" s="53" t="str">
        <f>IF(COUNTIF(Overwash_Matrix!$C:$C,2021)=0,"",COUNTIFS(Overwash_Matrix!$C:$C,2021,Overwash_Matrix!BB:BB,1))</f>
        <v/>
      </c>
      <c r="AW41" s="53" t="str">
        <f>IF(COUNTIF(Overwash_Matrix!$C:$C,2021)=0,"",COUNTIFS(Overwash_Matrix!$C:$C,2021,Overwash_Matrix!BC:BC,1))</f>
        <v/>
      </c>
      <c r="AX41" s="53" t="str">
        <f>IF(COUNTIF(Overwash_Matrix!$C:$C,2021)=0,"",COUNTIFS(Overwash_Matrix!$C:$C,2021,Overwash_Matrix!BD:BD,1))</f>
        <v/>
      </c>
      <c r="AY41" s="53" t="str">
        <f>IF(COUNTIF(Overwash_Matrix!$C:$C,2021)=0,"",COUNTIFS(Overwash_Matrix!$C:$C,2021,Overwash_Matrix!BE:BE,1))</f>
        <v/>
      </c>
      <c r="AZ41" s="53" t="str">
        <f>IF(COUNTIF(Overwash_Matrix!$C:$C,2021)=0,"",COUNTIFS(Overwash_Matrix!$C:$C,2021,Overwash_Matrix!BF:BF,1))</f>
        <v/>
      </c>
      <c r="BA41" s="53" t="str">
        <f>IF(COUNTIF(Overwash_Matrix!$C:$C,2021)=0,"",COUNTIFS(Overwash_Matrix!$C:$C,2021,Overwash_Matrix!BG:BG,1))</f>
        <v/>
      </c>
      <c r="BB41" s="53" t="str">
        <f>IF(COUNTIF(Overwash_Matrix!$C:$C,2021)=0,"",COUNTIFS(Overwash_Matrix!$C:$C,2021,Overwash_Matrix!BH:BH,1))</f>
        <v/>
      </c>
      <c r="BC41" s="53" t="str">
        <f>IF(COUNTIF(Overwash_Matrix!$C:$C,2021)=0,"",COUNTIFS(Overwash_Matrix!$C:$C,2021,Overwash_Matrix!BI:BI,1))</f>
        <v/>
      </c>
      <c r="BD41" s="53" t="str">
        <f>IF(COUNTIF(Overwash_Matrix!$C:$C,2021)=0,"",COUNTIFS(Overwash_Matrix!$C:$C,2021,Overwash_Matrix!BJ:BJ,1))</f>
        <v/>
      </c>
      <c r="BE41" s="53" t="str">
        <f>IF(COUNTIF(Overwash_Matrix!$C:$C,2021)=0,"",COUNTIFS(Overwash_Matrix!$C:$C,2021,Overwash_Matrix!BK:BK,1))</f>
        <v/>
      </c>
      <c r="BF41" s="53" t="str">
        <f>IF(COUNTIF(Overwash_Matrix!$C:$C,2021)=0,"",COUNTIFS(Overwash_Matrix!$C:$C,2021,Overwash_Matrix!BL:BL,1))</f>
        <v/>
      </c>
      <c r="BG41" s="53" t="str">
        <f>IF(COUNTIF(Overwash_Matrix!$C:$C,2021)=0,"",COUNTIFS(Overwash_Matrix!$C:$C,2021,Overwash_Matrix!BM:BM,1))</f>
        <v/>
      </c>
      <c r="BH41" s="53" t="str">
        <f>IF(COUNTIF(Overwash_Matrix!$C:$C,2021)=0,"",COUNTIFS(Overwash_Matrix!$C:$C,2021,Overwash_Matrix!BN:BN,1))</f>
        <v/>
      </c>
      <c r="BI41" s="53" t="str">
        <f>IF(COUNTIF(Overwash_Matrix!$C:$C,2021)=0,"",COUNTIFS(Overwash_Matrix!$C:$C,2021,Overwash_Matrix!BO:BO,1))</f>
        <v/>
      </c>
      <c r="BJ41" s="53" t="str">
        <f>IF(COUNTIF(Overwash_Matrix!$C:$C,2021)=0,"",COUNTIFS(Overwash_Matrix!$C:$C,2021,Overwash_Matrix!BP:BP,1))</f>
        <v/>
      </c>
      <c r="BK41" s="53" t="str">
        <f>IF(COUNTIF(Overwash_Matrix!$C:$C,2021)=0,"",COUNTIFS(Overwash_Matrix!$C:$C,2021,Overwash_Matrix!BQ:BQ,1))</f>
        <v/>
      </c>
      <c r="BL41" s="53" t="str">
        <f>IF(COUNTIF(Overwash_Matrix!$C:$C,2021)=0,"",COUNTIFS(Overwash_Matrix!$C:$C,2021,Overwash_Matrix!BR:BR,1))</f>
        <v/>
      </c>
      <c r="BM41" s="53" t="str">
        <f>IF(COUNTIF(Overwash_Matrix!$C:$C,2021)=0,"",COUNTIFS(Overwash_Matrix!$C:$C,2021,Overwash_Matrix!BS:BS,1))</f>
        <v/>
      </c>
      <c r="BN41" s="53" t="str">
        <f>IF(COUNTIF(Overwash_Matrix!$C:$C,2021)=0,"",COUNTIFS(Overwash_Matrix!$C:$C,2021,Overwash_Matrix!BT:BT,1))</f>
        <v/>
      </c>
      <c r="BO41" s="53" t="str">
        <f>IF(COUNTIF(Overwash_Matrix!$C:$C,2021)=0,"",COUNTIFS(Overwash_Matrix!$C:$C,2021,Overwash_Matrix!BU:BU,1))</f>
        <v/>
      </c>
      <c r="BP41" s="53" t="str">
        <f>IF(COUNTIF(Overwash_Matrix!$C:$C,2021)=0,"",COUNTIFS(Overwash_Matrix!$C:$C,2021,Overwash_Matrix!BV:BV,1))</f>
        <v/>
      </c>
      <c r="BQ41" s="53" t="str">
        <f>IF(COUNTIF(Overwash_Matrix!$C:$C,2021)=0,"",COUNTIFS(Overwash_Matrix!$C:$C,2021,Overwash_Matrix!BW:BW,1))</f>
        <v/>
      </c>
      <c r="BR41" s="53" t="str">
        <f>IF(COUNTIF(Overwash_Matrix!$C:$C,2021)=0,"",COUNTIFS(Overwash_Matrix!$C:$C,2021,Overwash_Matrix!BX:BX,1))</f>
        <v/>
      </c>
      <c r="BS41" s="53" t="str">
        <f>IF(COUNTIF(Overwash_Matrix!$C:$C,2021)=0,"",COUNTIFS(Overwash_Matrix!$C:$C,2021,Overwash_Matrix!BY:BY,1))</f>
        <v/>
      </c>
      <c r="BT41" s="53" t="str">
        <f>IF(COUNTIF(Overwash_Matrix!$C:$C,2021)=0,"",COUNTIFS(Overwash_Matrix!$C:$C,2021,Overwash_Matrix!BZ:BZ,1))</f>
        <v/>
      </c>
      <c r="BU41" s="53" t="str">
        <f>IF(COUNTIF(Overwash_Matrix!$C:$C,2021)=0,"",COUNTIFS(Overwash_Matrix!$C:$C,2021,Overwash_Matrix!CA:CA,1))</f>
        <v/>
      </c>
      <c r="BV41" s="53" t="str">
        <f>IF(COUNTIF(Overwash_Matrix!$C:$C,2021)=0,"",COUNTIFS(Overwash_Matrix!$C:$C,2021,Overwash_Matrix!CB:CB,1))</f>
        <v/>
      </c>
      <c r="BW41" s="53" t="str">
        <f>IF(COUNTIF(Overwash_Matrix!$C:$C,2021)=0,"",COUNTIFS(Overwash_Matrix!$C:$C,2021,Overwash_Matrix!CC:CC,1))</f>
        <v/>
      </c>
      <c r="BX41" s="53" t="str">
        <f>IF(COUNTIF(Overwash_Matrix!$C:$C,2021)=0,"",COUNTIFS(Overwash_Matrix!$C:$C,2021,Overwash_Matrix!CD:CD,1))</f>
        <v/>
      </c>
      <c r="BY41" s="53" t="str">
        <f>IF(COUNTIF(Overwash_Matrix!$C:$C,2021)=0,"",COUNTIFS(Overwash_Matrix!$C:$C,2021,Overwash_Matrix!CE:CE,1))</f>
        <v/>
      </c>
      <c r="BZ41" s="53" t="str">
        <f>IF(COUNTIF(Overwash_Matrix!$C:$C,2021)=0,"",COUNTIFS(Overwash_Matrix!$C:$C,2021,Overwash_Matrix!CF:CF,1))</f>
        <v/>
      </c>
      <c r="CA41" s="53" t="str">
        <f>IF(COUNTIF(Overwash_Matrix!$C:$C,2021)=0,"",COUNTIFS(Overwash_Matrix!$C:$C,2021,Overwash_Matrix!CG:CG,1))</f>
        <v/>
      </c>
      <c r="CB41" s="53" t="str">
        <f>IF(COUNTIF(Overwash_Matrix!$C:$C,2021)=0,"",COUNTIFS(Overwash_Matrix!$C:$C,2021,Overwash_Matrix!CH:CH,1))</f>
        <v/>
      </c>
      <c r="CC41" s="53" t="str">
        <f>IF(COUNTIF(Overwash_Matrix!$C:$C,2021)=0,"",COUNTIFS(Overwash_Matrix!$C:$C,2021,Overwash_Matrix!CI:CI,1))</f>
        <v/>
      </c>
      <c r="CD41" s="53" t="str">
        <f>IF(COUNTIF(Overwash_Matrix!$C:$C,2021)=0,"",COUNTIFS(Overwash_Matrix!$C:$C,2021,Overwash_Matrix!CJ:CJ,1))</f>
        <v/>
      </c>
      <c r="CE41" s="53" t="str">
        <f>IF(COUNTIF(Overwash_Matrix!$C:$C,2021)=0,"",COUNTIFS(Overwash_Matrix!$C:$C,2021,Overwash_Matrix!CK:CK,1))</f>
        <v/>
      </c>
      <c r="CF41" s="53" t="str">
        <f>IF(COUNTIF(Overwash_Matrix!$C:$C,2021)=0,"",COUNTIFS(Overwash_Matrix!$C:$C,2021,Overwash_Matrix!CL:CL,1))</f>
        <v/>
      </c>
      <c r="CG41" s="53" t="str">
        <f>IF(COUNTIF(Overwash_Matrix!$C:$C,2021)=0,"",COUNTIFS(Overwash_Matrix!$C:$C,2021,Overwash_Matrix!CM:CM,1))</f>
        <v/>
      </c>
      <c r="CH41" s="53" t="str">
        <f>IF(COUNTIF(Overwash_Matrix!$C:$C,2021)=0,"",COUNTIFS(Overwash_Matrix!$C:$C,2021,Overwash_Matrix!CN:CN,1))</f>
        <v/>
      </c>
      <c r="CI41" s="53" t="str">
        <f>IF(COUNTIF(Overwash_Matrix!$C:$C,2021)=0,"",COUNTIFS(Overwash_Matrix!$C:$C,2021,Overwash_Matrix!CO:CO,1))</f>
        <v/>
      </c>
      <c r="CJ41" s="53" t="str">
        <f>IF(COUNTIF(Overwash_Matrix!$C:$C,2021)=0,"",COUNTIFS(Overwash_Matrix!$C:$C,2021,Overwash_Matrix!CP:CP,1))</f>
        <v/>
      </c>
      <c r="CK41" s="53" t="str">
        <f>IF(COUNTIF(Overwash_Matrix!$C:$C,2021)=0,"",COUNTIFS(Overwash_Matrix!$C:$C,2021,Overwash_Matrix!CQ:CQ,1))</f>
        <v/>
      </c>
      <c r="CL41" s="53" t="str">
        <f>IF(COUNTIF(Overwash_Matrix!$C:$C,2021)=0,"",COUNTIFS(Overwash_Matrix!$C:$C,2021,Overwash_Matrix!CR:CR,1))</f>
        <v/>
      </c>
      <c r="CM41" s="53" t="str">
        <f>IF(COUNTIF(Overwash_Matrix!$C:$C,2021)=0,"",COUNTIFS(Overwash_Matrix!$C:$C,2021,Overwash_Matrix!CS:CS,1))</f>
        <v/>
      </c>
      <c r="CN41" s="53" t="str">
        <f>IF(COUNTIF(Overwash_Matrix!$C:$C,2021)=0,"",COUNTIFS(Overwash_Matrix!$C:$C,2021,Overwash_Matrix!CT:CT,1))</f>
        <v/>
      </c>
    </row>
    <row r="42" ht="13.5" customHeight="1">
      <c r="A42" s="86">
        <v>2022.0</v>
      </c>
      <c r="B42" s="87">
        <f>COUNTIF(Overwash_Matrix!$C:$C,2022)</f>
        <v>0</v>
      </c>
      <c r="C42" s="57" t="str">
        <f>IF(COUNTIF(Overwash_Matrix!$C:$C,2022)=0,"",COUNTIFS(Overwash_Matrix!$C:$C,2022,Overwash_Matrix!I:I,1))</f>
        <v/>
      </c>
      <c r="D42" s="57" t="str">
        <f>IF(COUNTIF(Overwash_Matrix!$C:$C,2022)=0,"",COUNTIFS(Overwash_Matrix!$C:$C,2022,Overwash_Matrix!J:J,1))</f>
        <v/>
      </c>
      <c r="E42" s="57" t="str">
        <f>IF(COUNTIF(Overwash_Matrix!$C:$C,2022)=0,"",COUNTIFS(Overwash_Matrix!$C:$C,2022,Overwash_Matrix!K:K,1))</f>
        <v/>
      </c>
      <c r="F42" s="57" t="str">
        <f>IF(COUNTIF(Overwash_Matrix!$C:$C,2022)=0,"",COUNTIFS(Overwash_Matrix!$C:$C,2022,Overwash_Matrix!L:L,1))</f>
        <v/>
      </c>
      <c r="G42" s="57" t="str">
        <f>IF(COUNTIF(Overwash_Matrix!$C:$C,2022)=0,"",COUNTIFS(Overwash_Matrix!$C:$C,2022,Overwash_Matrix!M:M,1))</f>
        <v/>
      </c>
      <c r="H42" s="57" t="str">
        <f>IF(COUNTIF(Overwash_Matrix!$C:$C,2022)=0,"",COUNTIFS(Overwash_Matrix!$C:$C,2022,Overwash_Matrix!N:N,1))</f>
        <v/>
      </c>
      <c r="I42" s="57" t="str">
        <f>IF(COUNTIF(Overwash_Matrix!$C:$C,2022)=0,"",COUNTIFS(Overwash_Matrix!$C:$C,2022,Overwash_Matrix!O:O,1))</f>
        <v/>
      </c>
      <c r="J42" s="57" t="str">
        <f>IF(COUNTIF(Overwash_Matrix!$C:$C,2022)=0,"",COUNTIFS(Overwash_Matrix!$C:$C,2022,Overwash_Matrix!P:P,1))</f>
        <v/>
      </c>
      <c r="K42" s="57" t="str">
        <f>IF(COUNTIF(Overwash_Matrix!$C:$C,2022)=0,"",COUNTIFS(Overwash_Matrix!$C:$C,2022,Overwash_Matrix!Q:Q,1))</f>
        <v/>
      </c>
      <c r="L42" s="57" t="str">
        <f>IF(COUNTIF(Overwash_Matrix!$C:$C,2022)=0,"",COUNTIFS(Overwash_Matrix!$C:$C,2022,Overwash_Matrix!R:R,1))</f>
        <v/>
      </c>
      <c r="M42" s="57" t="str">
        <f>IF(COUNTIF(Overwash_Matrix!$C:$C,2022)=0,"",COUNTIFS(Overwash_Matrix!$C:$C,2022,Overwash_Matrix!S:S,1))</f>
        <v/>
      </c>
      <c r="N42" s="57" t="str">
        <f>IF(COUNTIF(Overwash_Matrix!$C:$C,2022)=0,"",COUNTIFS(Overwash_Matrix!$C:$C,2022,Overwash_Matrix!T:T,1))</f>
        <v/>
      </c>
      <c r="O42" s="57" t="str">
        <f>IF(COUNTIF(Overwash_Matrix!$C:$C,2022)=0,"",COUNTIFS(Overwash_Matrix!$C:$C,2022,Overwash_Matrix!U:U,1))</f>
        <v/>
      </c>
      <c r="P42" s="57" t="str">
        <f>IF(COUNTIF(Overwash_Matrix!$C:$C,2022)=0,"",COUNTIFS(Overwash_Matrix!$C:$C,2022,Overwash_Matrix!V:V,1))</f>
        <v/>
      </c>
      <c r="Q42" s="57" t="str">
        <f>IF(COUNTIF(Overwash_Matrix!$C:$C,2022)=0,"",COUNTIFS(Overwash_Matrix!$C:$C,2022,Overwash_Matrix!W:W,1))</f>
        <v/>
      </c>
      <c r="R42" s="57" t="str">
        <f>IF(COUNTIF(Overwash_Matrix!$C:$C,2022)=0,"",COUNTIFS(Overwash_Matrix!$C:$C,2022,Overwash_Matrix!X:X,1))</f>
        <v/>
      </c>
      <c r="S42" s="57" t="str">
        <f>IF(COUNTIF(Overwash_Matrix!$C:$C,2022)=0,"",COUNTIFS(Overwash_Matrix!$C:$C,2022,Overwash_Matrix!Y:Y,1))</f>
        <v/>
      </c>
      <c r="T42" s="57" t="str">
        <f>IF(COUNTIF(Overwash_Matrix!$C:$C,2022)=0,"",COUNTIFS(Overwash_Matrix!$C:$C,2022,Overwash_Matrix!Z:Z,1))</f>
        <v/>
      </c>
      <c r="U42" s="57" t="str">
        <f>IF(COUNTIF(Overwash_Matrix!$C:$C,2022)=0,"",COUNTIFS(Overwash_Matrix!$C:$C,2022,Overwash_Matrix!AA:AA,1))</f>
        <v/>
      </c>
      <c r="V42" s="57" t="str">
        <f>IF(COUNTIF(Overwash_Matrix!$C:$C,2022)=0,"",COUNTIFS(Overwash_Matrix!$C:$C,2022,Overwash_Matrix!AB:AB,1))</f>
        <v/>
      </c>
      <c r="W42" s="57" t="str">
        <f>IF(COUNTIF(Overwash_Matrix!$C:$C,2022)=0,"",COUNTIFS(Overwash_Matrix!$C:$C,2022,Overwash_Matrix!AC:AC,1))</f>
        <v/>
      </c>
      <c r="X42" s="57" t="str">
        <f>IF(COUNTIF(Overwash_Matrix!$C:$C,2022)=0,"",COUNTIFS(Overwash_Matrix!$C:$C,2022,Overwash_Matrix!AD:AD,1))</f>
        <v/>
      </c>
      <c r="Y42" s="57" t="str">
        <f>IF(COUNTIF(Overwash_Matrix!$C:$C,2022)=0,"",COUNTIFS(Overwash_Matrix!$C:$C,2022,Overwash_Matrix!AE:AE,1))</f>
        <v/>
      </c>
      <c r="Z42" s="57" t="str">
        <f>IF(COUNTIF(Overwash_Matrix!$C:$C,2022)=0,"",COUNTIFS(Overwash_Matrix!$C:$C,2022,Overwash_Matrix!AF:AF,1))</f>
        <v/>
      </c>
      <c r="AA42" s="57" t="str">
        <f>IF(COUNTIF(Overwash_Matrix!$C:$C,2022)=0,"",COUNTIFS(Overwash_Matrix!$C:$C,2022,Overwash_Matrix!AG:AG,1))</f>
        <v/>
      </c>
      <c r="AB42" s="57" t="str">
        <f>IF(COUNTIF(Overwash_Matrix!$C:$C,2022)=0,"",COUNTIFS(Overwash_Matrix!$C:$C,2022,Overwash_Matrix!AH:AH,1))</f>
        <v/>
      </c>
      <c r="AC42" s="57" t="str">
        <f>IF(COUNTIF(Overwash_Matrix!$C:$C,2022)=0,"",COUNTIFS(Overwash_Matrix!$C:$C,2022,Overwash_Matrix!AI:AI,1))</f>
        <v/>
      </c>
      <c r="AD42" s="57" t="str">
        <f>IF(COUNTIF(Overwash_Matrix!$C:$C,2022)=0,"",COUNTIFS(Overwash_Matrix!$C:$C,2022,Overwash_Matrix!AJ:AJ,1))</f>
        <v/>
      </c>
      <c r="AE42" s="57" t="str">
        <f>IF(COUNTIF(Overwash_Matrix!$C:$C,2022)=0,"",COUNTIFS(Overwash_Matrix!$C:$C,2022,Overwash_Matrix!AK:AK,1))</f>
        <v/>
      </c>
      <c r="AF42" s="57" t="str">
        <f>IF(COUNTIF(Overwash_Matrix!$C:$C,2022)=0,"",COUNTIFS(Overwash_Matrix!$C:$C,2022,Overwash_Matrix!AL:AL,1))</f>
        <v/>
      </c>
      <c r="AG42" s="57" t="str">
        <f>IF(COUNTIF(Overwash_Matrix!$C:$C,2022)=0,"",COUNTIFS(Overwash_Matrix!$C:$C,2022,Overwash_Matrix!AM:AM,1))</f>
        <v/>
      </c>
      <c r="AH42" s="57" t="str">
        <f>IF(COUNTIF(Overwash_Matrix!$C:$C,2022)=0,"",COUNTIFS(Overwash_Matrix!$C:$C,2022,Overwash_Matrix!AN:AN,1))</f>
        <v/>
      </c>
      <c r="AI42" s="57" t="str">
        <f>IF(COUNTIF(Overwash_Matrix!$C:$C,2022)=0,"",COUNTIFS(Overwash_Matrix!$C:$C,2022,Overwash_Matrix!AO:AO,1))</f>
        <v/>
      </c>
      <c r="AJ42" s="57" t="str">
        <f>IF(COUNTIF(Overwash_Matrix!$C:$C,2022)=0,"",COUNTIFS(Overwash_Matrix!$C:$C,2022,Overwash_Matrix!AP:AP,1))</f>
        <v/>
      </c>
      <c r="AK42" s="57" t="str">
        <f>IF(COUNTIF(Overwash_Matrix!$C:$C,2022)=0,"",COUNTIFS(Overwash_Matrix!$C:$C,2022,Overwash_Matrix!AQ:AQ,1))</f>
        <v/>
      </c>
      <c r="AL42" s="57" t="str">
        <f>IF(COUNTIF(Overwash_Matrix!$C:$C,2022)=0,"",COUNTIFS(Overwash_Matrix!$C:$C,2022,Overwash_Matrix!AR:AR,1))</f>
        <v/>
      </c>
      <c r="AM42" s="57" t="str">
        <f>IF(COUNTIF(Overwash_Matrix!$C:$C,2022)=0,"",COUNTIFS(Overwash_Matrix!$C:$C,2022,Overwash_Matrix!AS:AS,1))</f>
        <v/>
      </c>
      <c r="AN42" s="57" t="str">
        <f>IF(COUNTIF(Overwash_Matrix!$C:$C,2022)=0,"",COUNTIFS(Overwash_Matrix!$C:$C,2022,Overwash_Matrix!AT:AT,1))</f>
        <v/>
      </c>
      <c r="AO42" s="57" t="str">
        <f>IF(COUNTIF(Overwash_Matrix!$C:$C,2022)=0,"",COUNTIFS(Overwash_Matrix!$C:$C,2022,Overwash_Matrix!AU:AU,1))</f>
        <v/>
      </c>
      <c r="AP42" s="57" t="str">
        <f>IF(COUNTIF(Overwash_Matrix!$C:$C,2022)=0,"",COUNTIFS(Overwash_Matrix!$C:$C,2022,Overwash_Matrix!AV:AV,1))</f>
        <v/>
      </c>
      <c r="AQ42" s="57" t="str">
        <f>IF(COUNTIF(Overwash_Matrix!$C:$C,2022)=0,"",COUNTIFS(Overwash_Matrix!$C:$C,2022,Overwash_Matrix!AW:AW,1))</f>
        <v/>
      </c>
      <c r="AR42" s="57" t="str">
        <f>IF(COUNTIF(Overwash_Matrix!$C:$C,2022)=0,"",COUNTIFS(Overwash_Matrix!$C:$C,2022,Overwash_Matrix!AX:AX,1))</f>
        <v/>
      </c>
      <c r="AS42" s="57" t="str">
        <f>IF(COUNTIF(Overwash_Matrix!$C:$C,2022)=0,"",COUNTIFS(Overwash_Matrix!$C:$C,2022,Overwash_Matrix!AY:AY,1))</f>
        <v/>
      </c>
      <c r="AT42" s="57" t="str">
        <f>IF(COUNTIF(Overwash_Matrix!$C:$C,2022)=0,"",COUNTIFS(Overwash_Matrix!$C:$C,2022,Overwash_Matrix!AZ:AZ,1))</f>
        <v/>
      </c>
      <c r="AU42" s="57" t="str">
        <f>IF(COUNTIF(Overwash_Matrix!$C:$C,2022)=0,"",COUNTIFS(Overwash_Matrix!$C:$C,2022,Overwash_Matrix!BA:BA,1))</f>
        <v/>
      </c>
      <c r="AV42" s="57" t="str">
        <f>IF(COUNTIF(Overwash_Matrix!$C:$C,2022)=0,"",COUNTIFS(Overwash_Matrix!$C:$C,2022,Overwash_Matrix!BB:BB,1))</f>
        <v/>
      </c>
      <c r="AW42" s="57" t="str">
        <f>IF(COUNTIF(Overwash_Matrix!$C:$C,2022)=0,"",COUNTIFS(Overwash_Matrix!$C:$C,2022,Overwash_Matrix!BC:BC,1))</f>
        <v/>
      </c>
      <c r="AX42" s="57" t="str">
        <f>IF(COUNTIF(Overwash_Matrix!$C:$C,2022)=0,"",COUNTIFS(Overwash_Matrix!$C:$C,2022,Overwash_Matrix!BD:BD,1))</f>
        <v/>
      </c>
      <c r="AY42" s="57" t="str">
        <f>IF(COUNTIF(Overwash_Matrix!$C:$C,2022)=0,"",COUNTIFS(Overwash_Matrix!$C:$C,2022,Overwash_Matrix!BE:BE,1))</f>
        <v/>
      </c>
      <c r="AZ42" s="57" t="str">
        <f>IF(COUNTIF(Overwash_Matrix!$C:$C,2022)=0,"",COUNTIFS(Overwash_Matrix!$C:$C,2022,Overwash_Matrix!BF:BF,1))</f>
        <v/>
      </c>
      <c r="BA42" s="57" t="str">
        <f>IF(COUNTIF(Overwash_Matrix!$C:$C,2022)=0,"",COUNTIFS(Overwash_Matrix!$C:$C,2022,Overwash_Matrix!BG:BG,1))</f>
        <v/>
      </c>
      <c r="BB42" s="57" t="str">
        <f>IF(COUNTIF(Overwash_Matrix!$C:$C,2022)=0,"",COUNTIFS(Overwash_Matrix!$C:$C,2022,Overwash_Matrix!BH:BH,1))</f>
        <v/>
      </c>
      <c r="BC42" s="57" t="str">
        <f>IF(COUNTIF(Overwash_Matrix!$C:$C,2022)=0,"",COUNTIFS(Overwash_Matrix!$C:$C,2022,Overwash_Matrix!BI:BI,1))</f>
        <v/>
      </c>
      <c r="BD42" s="57" t="str">
        <f>IF(COUNTIF(Overwash_Matrix!$C:$C,2022)=0,"",COUNTIFS(Overwash_Matrix!$C:$C,2022,Overwash_Matrix!BJ:BJ,1))</f>
        <v/>
      </c>
      <c r="BE42" s="57" t="str">
        <f>IF(COUNTIF(Overwash_Matrix!$C:$C,2022)=0,"",COUNTIFS(Overwash_Matrix!$C:$C,2022,Overwash_Matrix!BK:BK,1))</f>
        <v/>
      </c>
      <c r="BF42" s="57" t="str">
        <f>IF(COUNTIF(Overwash_Matrix!$C:$C,2022)=0,"",COUNTIFS(Overwash_Matrix!$C:$C,2022,Overwash_Matrix!BL:BL,1))</f>
        <v/>
      </c>
      <c r="BG42" s="57" t="str">
        <f>IF(COUNTIF(Overwash_Matrix!$C:$C,2022)=0,"",COUNTIFS(Overwash_Matrix!$C:$C,2022,Overwash_Matrix!BM:BM,1))</f>
        <v/>
      </c>
      <c r="BH42" s="57" t="str">
        <f>IF(COUNTIF(Overwash_Matrix!$C:$C,2022)=0,"",COUNTIFS(Overwash_Matrix!$C:$C,2022,Overwash_Matrix!BN:BN,1))</f>
        <v/>
      </c>
      <c r="BI42" s="57" t="str">
        <f>IF(COUNTIF(Overwash_Matrix!$C:$C,2022)=0,"",COUNTIFS(Overwash_Matrix!$C:$C,2022,Overwash_Matrix!BO:BO,1))</f>
        <v/>
      </c>
      <c r="BJ42" s="57" t="str">
        <f>IF(COUNTIF(Overwash_Matrix!$C:$C,2022)=0,"",COUNTIFS(Overwash_Matrix!$C:$C,2022,Overwash_Matrix!BP:BP,1))</f>
        <v/>
      </c>
      <c r="BK42" s="57" t="str">
        <f>IF(COUNTIF(Overwash_Matrix!$C:$C,2022)=0,"",COUNTIFS(Overwash_Matrix!$C:$C,2022,Overwash_Matrix!BQ:BQ,1))</f>
        <v/>
      </c>
      <c r="BL42" s="57" t="str">
        <f>IF(COUNTIF(Overwash_Matrix!$C:$C,2022)=0,"",COUNTIFS(Overwash_Matrix!$C:$C,2022,Overwash_Matrix!BR:BR,1))</f>
        <v/>
      </c>
      <c r="BM42" s="57" t="str">
        <f>IF(COUNTIF(Overwash_Matrix!$C:$C,2022)=0,"",COUNTIFS(Overwash_Matrix!$C:$C,2022,Overwash_Matrix!BS:BS,1))</f>
        <v/>
      </c>
      <c r="BN42" s="57" t="str">
        <f>IF(COUNTIF(Overwash_Matrix!$C:$C,2022)=0,"",COUNTIFS(Overwash_Matrix!$C:$C,2022,Overwash_Matrix!BT:BT,1))</f>
        <v/>
      </c>
      <c r="BO42" s="57" t="str">
        <f>IF(COUNTIF(Overwash_Matrix!$C:$C,2022)=0,"",COUNTIFS(Overwash_Matrix!$C:$C,2022,Overwash_Matrix!BU:BU,1))</f>
        <v/>
      </c>
      <c r="BP42" s="57" t="str">
        <f>IF(COUNTIF(Overwash_Matrix!$C:$C,2022)=0,"",COUNTIFS(Overwash_Matrix!$C:$C,2022,Overwash_Matrix!BV:BV,1))</f>
        <v/>
      </c>
      <c r="BQ42" s="57" t="str">
        <f>IF(COUNTIF(Overwash_Matrix!$C:$C,2022)=0,"",COUNTIFS(Overwash_Matrix!$C:$C,2022,Overwash_Matrix!BW:BW,1))</f>
        <v/>
      </c>
      <c r="BR42" s="57" t="str">
        <f>IF(COUNTIF(Overwash_Matrix!$C:$C,2022)=0,"",COUNTIFS(Overwash_Matrix!$C:$C,2022,Overwash_Matrix!BX:BX,1))</f>
        <v/>
      </c>
      <c r="BS42" s="57" t="str">
        <f>IF(COUNTIF(Overwash_Matrix!$C:$C,2022)=0,"",COUNTIFS(Overwash_Matrix!$C:$C,2022,Overwash_Matrix!BY:BY,1))</f>
        <v/>
      </c>
      <c r="BT42" s="57" t="str">
        <f>IF(COUNTIF(Overwash_Matrix!$C:$C,2022)=0,"",COUNTIFS(Overwash_Matrix!$C:$C,2022,Overwash_Matrix!BZ:BZ,1))</f>
        <v/>
      </c>
      <c r="BU42" s="57" t="str">
        <f>IF(COUNTIF(Overwash_Matrix!$C:$C,2022)=0,"",COUNTIFS(Overwash_Matrix!$C:$C,2022,Overwash_Matrix!CA:CA,1))</f>
        <v/>
      </c>
      <c r="BV42" s="57" t="str">
        <f>IF(COUNTIF(Overwash_Matrix!$C:$C,2022)=0,"",COUNTIFS(Overwash_Matrix!$C:$C,2022,Overwash_Matrix!CB:CB,1))</f>
        <v/>
      </c>
      <c r="BW42" s="57" t="str">
        <f>IF(COUNTIF(Overwash_Matrix!$C:$C,2022)=0,"",COUNTIFS(Overwash_Matrix!$C:$C,2022,Overwash_Matrix!CC:CC,1))</f>
        <v/>
      </c>
      <c r="BX42" s="57" t="str">
        <f>IF(COUNTIF(Overwash_Matrix!$C:$C,2022)=0,"",COUNTIFS(Overwash_Matrix!$C:$C,2022,Overwash_Matrix!CD:CD,1))</f>
        <v/>
      </c>
      <c r="BY42" s="57" t="str">
        <f>IF(COUNTIF(Overwash_Matrix!$C:$C,2022)=0,"",COUNTIFS(Overwash_Matrix!$C:$C,2022,Overwash_Matrix!CE:CE,1))</f>
        <v/>
      </c>
      <c r="BZ42" s="57" t="str">
        <f>IF(COUNTIF(Overwash_Matrix!$C:$C,2022)=0,"",COUNTIFS(Overwash_Matrix!$C:$C,2022,Overwash_Matrix!CF:CF,1))</f>
        <v/>
      </c>
      <c r="CA42" s="57" t="str">
        <f>IF(COUNTIF(Overwash_Matrix!$C:$C,2022)=0,"",COUNTIFS(Overwash_Matrix!$C:$C,2022,Overwash_Matrix!CG:CG,1))</f>
        <v/>
      </c>
      <c r="CB42" s="57" t="str">
        <f>IF(COUNTIF(Overwash_Matrix!$C:$C,2022)=0,"",COUNTIFS(Overwash_Matrix!$C:$C,2022,Overwash_Matrix!CH:CH,1))</f>
        <v/>
      </c>
      <c r="CC42" s="57" t="str">
        <f>IF(COUNTIF(Overwash_Matrix!$C:$C,2022)=0,"",COUNTIFS(Overwash_Matrix!$C:$C,2022,Overwash_Matrix!CI:CI,1))</f>
        <v/>
      </c>
      <c r="CD42" s="57" t="str">
        <f>IF(COUNTIF(Overwash_Matrix!$C:$C,2022)=0,"",COUNTIFS(Overwash_Matrix!$C:$C,2022,Overwash_Matrix!CJ:CJ,1))</f>
        <v/>
      </c>
      <c r="CE42" s="57" t="str">
        <f>IF(COUNTIF(Overwash_Matrix!$C:$C,2022)=0,"",COUNTIFS(Overwash_Matrix!$C:$C,2022,Overwash_Matrix!CK:CK,1))</f>
        <v/>
      </c>
      <c r="CF42" s="57" t="str">
        <f>IF(COUNTIF(Overwash_Matrix!$C:$C,2022)=0,"",COUNTIFS(Overwash_Matrix!$C:$C,2022,Overwash_Matrix!CL:CL,1))</f>
        <v/>
      </c>
      <c r="CG42" s="57" t="str">
        <f>IF(COUNTIF(Overwash_Matrix!$C:$C,2022)=0,"",COUNTIFS(Overwash_Matrix!$C:$C,2022,Overwash_Matrix!CM:CM,1))</f>
        <v/>
      </c>
      <c r="CH42" s="57" t="str">
        <f>IF(COUNTIF(Overwash_Matrix!$C:$C,2022)=0,"",COUNTIFS(Overwash_Matrix!$C:$C,2022,Overwash_Matrix!CN:CN,1))</f>
        <v/>
      </c>
      <c r="CI42" s="57" t="str">
        <f>IF(COUNTIF(Overwash_Matrix!$C:$C,2022)=0,"",COUNTIFS(Overwash_Matrix!$C:$C,2022,Overwash_Matrix!CO:CO,1))</f>
        <v/>
      </c>
      <c r="CJ42" s="57" t="str">
        <f>IF(COUNTIF(Overwash_Matrix!$C:$C,2022)=0,"",COUNTIFS(Overwash_Matrix!$C:$C,2022,Overwash_Matrix!CP:CP,1))</f>
        <v/>
      </c>
      <c r="CK42" s="57" t="str">
        <f>IF(COUNTIF(Overwash_Matrix!$C:$C,2022)=0,"",COUNTIFS(Overwash_Matrix!$C:$C,2022,Overwash_Matrix!CQ:CQ,1))</f>
        <v/>
      </c>
      <c r="CL42" s="57" t="str">
        <f>IF(COUNTIF(Overwash_Matrix!$C:$C,2022)=0,"",COUNTIFS(Overwash_Matrix!$C:$C,2022,Overwash_Matrix!CR:CR,1))</f>
        <v/>
      </c>
      <c r="CM42" s="57" t="str">
        <f>IF(COUNTIF(Overwash_Matrix!$C:$C,2022)=0,"",COUNTIFS(Overwash_Matrix!$C:$C,2022,Overwash_Matrix!CS:CS,1))</f>
        <v/>
      </c>
      <c r="CN42" s="57" t="str">
        <f>IF(COUNTIF(Overwash_Matrix!$C:$C,2022)=0,"",COUNTIFS(Overwash_Matrix!$C:$C,2022,Overwash_Matrix!CT:CT,1))</f>
        <v/>
      </c>
    </row>
    <row r="43" ht="13.5" customHeight="1">
      <c r="A43" s="88">
        <v>2023.0</v>
      </c>
      <c r="B43" s="89">
        <f>COUNTIF(Overwash_Matrix!$C:$C,2023)</f>
        <v>0</v>
      </c>
      <c r="C43" s="53" t="str">
        <f>IF(COUNTIF(Overwash_Matrix!$C:$C,2023)=0,"",COUNTIFS(Overwash_Matrix!$C:$C,2023,Overwash_Matrix!I:I,1))</f>
        <v/>
      </c>
      <c r="D43" s="53" t="str">
        <f>IF(COUNTIF(Overwash_Matrix!$C:$C,2023)=0,"",COUNTIFS(Overwash_Matrix!$C:$C,2023,Overwash_Matrix!J:J,1))</f>
        <v/>
      </c>
      <c r="E43" s="53" t="str">
        <f>IF(COUNTIF(Overwash_Matrix!$C:$C,2023)=0,"",COUNTIFS(Overwash_Matrix!$C:$C,2023,Overwash_Matrix!K:K,1))</f>
        <v/>
      </c>
      <c r="F43" s="53" t="str">
        <f>IF(COUNTIF(Overwash_Matrix!$C:$C,2023)=0,"",COUNTIFS(Overwash_Matrix!$C:$C,2023,Overwash_Matrix!L:L,1))</f>
        <v/>
      </c>
      <c r="G43" s="53" t="str">
        <f>IF(COUNTIF(Overwash_Matrix!$C:$C,2023)=0,"",COUNTIFS(Overwash_Matrix!$C:$C,2023,Overwash_Matrix!M:M,1))</f>
        <v/>
      </c>
      <c r="H43" s="53" t="str">
        <f>IF(COUNTIF(Overwash_Matrix!$C:$C,2023)=0,"",COUNTIFS(Overwash_Matrix!$C:$C,2023,Overwash_Matrix!N:N,1))</f>
        <v/>
      </c>
      <c r="I43" s="53" t="str">
        <f>IF(COUNTIF(Overwash_Matrix!$C:$C,2023)=0,"",COUNTIFS(Overwash_Matrix!$C:$C,2023,Overwash_Matrix!O:O,1))</f>
        <v/>
      </c>
      <c r="J43" s="53" t="str">
        <f>IF(COUNTIF(Overwash_Matrix!$C:$C,2023)=0,"",COUNTIFS(Overwash_Matrix!$C:$C,2023,Overwash_Matrix!P:P,1))</f>
        <v/>
      </c>
      <c r="K43" s="53" t="str">
        <f>IF(COUNTIF(Overwash_Matrix!$C:$C,2023)=0,"",COUNTIFS(Overwash_Matrix!$C:$C,2023,Overwash_Matrix!Q:Q,1))</f>
        <v/>
      </c>
      <c r="L43" s="53" t="str">
        <f>IF(COUNTIF(Overwash_Matrix!$C:$C,2023)=0,"",COUNTIFS(Overwash_Matrix!$C:$C,2023,Overwash_Matrix!R:R,1))</f>
        <v/>
      </c>
      <c r="M43" s="53" t="str">
        <f>IF(COUNTIF(Overwash_Matrix!$C:$C,2023)=0,"",COUNTIFS(Overwash_Matrix!$C:$C,2023,Overwash_Matrix!S:S,1))</f>
        <v/>
      </c>
      <c r="N43" s="53" t="str">
        <f>IF(COUNTIF(Overwash_Matrix!$C:$C,2023)=0,"",COUNTIFS(Overwash_Matrix!$C:$C,2023,Overwash_Matrix!T:T,1))</f>
        <v/>
      </c>
      <c r="O43" s="53" t="str">
        <f>IF(COUNTIF(Overwash_Matrix!$C:$C,2023)=0,"",COUNTIFS(Overwash_Matrix!$C:$C,2023,Overwash_Matrix!U:U,1))</f>
        <v/>
      </c>
      <c r="P43" s="53" t="str">
        <f>IF(COUNTIF(Overwash_Matrix!$C:$C,2023)=0,"",COUNTIFS(Overwash_Matrix!$C:$C,2023,Overwash_Matrix!V:V,1))</f>
        <v/>
      </c>
      <c r="Q43" s="53" t="str">
        <f>IF(COUNTIF(Overwash_Matrix!$C:$C,2023)=0,"",COUNTIFS(Overwash_Matrix!$C:$C,2023,Overwash_Matrix!W:W,1))</f>
        <v/>
      </c>
      <c r="R43" s="53" t="str">
        <f>IF(COUNTIF(Overwash_Matrix!$C:$C,2023)=0,"",COUNTIFS(Overwash_Matrix!$C:$C,2023,Overwash_Matrix!X:X,1))</f>
        <v/>
      </c>
      <c r="S43" s="53" t="str">
        <f>IF(COUNTIF(Overwash_Matrix!$C:$C,2023)=0,"",COUNTIFS(Overwash_Matrix!$C:$C,2023,Overwash_Matrix!Y:Y,1))</f>
        <v/>
      </c>
      <c r="T43" s="53" t="str">
        <f>IF(COUNTIF(Overwash_Matrix!$C:$C,2023)=0,"",COUNTIFS(Overwash_Matrix!$C:$C,2023,Overwash_Matrix!Z:Z,1))</f>
        <v/>
      </c>
      <c r="U43" s="53" t="str">
        <f>IF(COUNTIF(Overwash_Matrix!$C:$C,2023)=0,"",COUNTIFS(Overwash_Matrix!$C:$C,2023,Overwash_Matrix!AA:AA,1))</f>
        <v/>
      </c>
      <c r="V43" s="53" t="str">
        <f>IF(COUNTIF(Overwash_Matrix!$C:$C,2023)=0,"",COUNTIFS(Overwash_Matrix!$C:$C,2023,Overwash_Matrix!AB:AB,1))</f>
        <v/>
      </c>
      <c r="W43" s="53" t="str">
        <f>IF(COUNTIF(Overwash_Matrix!$C:$C,2023)=0,"",COUNTIFS(Overwash_Matrix!$C:$C,2023,Overwash_Matrix!AC:AC,1))</f>
        <v/>
      </c>
      <c r="X43" s="53" t="str">
        <f>IF(COUNTIF(Overwash_Matrix!$C:$C,2023)=0,"",COUNTIFS(Overwash_Matrix!$C:$C,2023,Overwash_Matrix!AD:AD,1))</f>
        <v/>
      </c>
      <c r="Y43" s="53" t="str">
        <f>IF(COUNTIF(Overwash_Matrix!$C:$C,2023)=0,"",COUNTIFS(Overwash_Matrix!$C:$C,2023,Overwash_Matrix!AE:AE,1))</f>
        <v/>
      </c>
      <c r="Z43" s="53" t="str">
        <f>IF(COUNTIF(Overwash_Matrix!$C:$C,2023)=0,"",COUNTIFS(Overwash_Matrix!$C:$C,2023,Overwash_Matrix!AF:AF,1))</f>
        <v/>
      </c>
      <c r="AA43" s="53" t="str">
        <f>IF(COUNTIF(Overwash_Matrix!$C:$C,2023)=0,"",COUNTIFS(Overwash_Matrix!$C:$C,2023,Overwash_Matrix!AG:AG,1))</f>
        <v/>
      </c>
      <c r="AB43" s="53" t="str">
        <f>IF(COUNTIF(Overwash_Matrix!$C:$C,2023)=0,"",COUNTIFS(Overwash_Matrix!$C:$C,2023,Overwash_Matrix!AH:AH,1))</f>
        <v/>
      </c>
      <c r="AC43" s="53" t="str">
        <f>IF(COUNTIF(Overwash_Matrix!$C:$C,2023)=0,"",COUNTIFS(Overwash_Matrix!$C:$C,2023,Overwash_Matrix!AI:AI,1))</f>
        <v/>
      </c>
      <c r="AD43" s="53" t="str">
        <f>IF(COUNTIF(Overwash_Matrix!$C:$C,2023)=0,"",COUNTIFS(Overwash_Matrix!$C:$C,2023,Overwash_Matrix!AJ:AJ,1))</f>
        <v/>
      </c>
      <c r="AE43" s="53" t="str">
        <f>IF(COUNTIF(Overwash_Matrix!$C:$C,2023)=0,"",COUNTIFS(Overwash_Matrix!$C:$C,2023,Overwash_Matrix!AK:AK,1))</f>
        <v/>
      </c>
      <c r="AF43" s="53" t="str">
        <f>IF(COUNTIF(Overwash_Matrix!$C:$C,2023)=0,"",COUNTIFS(Overwash_Matrix!$C:$C,2023,Overwash_Matrix!AL:AL,1))</f>
        <v/>
      </c>
      <c r="AG43" s="53" t="str">
        <f>IF(COUNTIF(Overwash_Matrix!$C:$C,2023)=0,"",COUNTIFS(Overwash_Matrix!$C:$C,2023,Overwash_Matrix!AM:AM,1))</f>
        <v/>
      </c>
      <c r="AH43" s="53" t="str">
        <f>IF(COUNTIF(Overwash_Matrix!$C:$C,2023)=0,"",COUNTIFS(Overwash_Matrix!$C:$C,2023,Overwash_Matrix!AN:AN,1))</f>
        <v/>
      </c>
      <c r="AI43" s="53" t="str">
        <f>IF(COUNTIF(Overwash_Matrix!$C:$C,2023)=0,"",COUNTIFS(Overwash_Matrix!$C:$C,2023,Overwash_Matrix!AO:AO,1))</f>
        <v/>
      </c>
      <c r="AJ43" s="53" t="str">
        <f>IF(COUNTIF(Overwash_Matrix!$C:$C,2023)=0,"",COUNTIFS(Overwash_Matrix!$C:$C,2023,Overwash_Matrix!AP:AP,1))</f>
        <v/>
      </c>
      <c r="AK43" s="53" t="str">
        <f>IF(COUNTIF(Overwash_Matrix!$C:$C,2023)=0,"",COUNTIFS(Overwash_Matrix!$C:$C,2023,Overwash_Matrix!AQ:AQ,1))</f>
        <v/>
      </c>
      <c r="AL43" s="53" t="str">
        <f>IF(COUNTIF(Overwash_Matrix!$C:$C,2023)=0,"",COUNTIFS(Overwash_Matrix!$C:$C,2023,Overwash_Matrix!AR:AR,1))</f>
        <v/>
      </c>
      <c r="AM43" s="53" t="str">
        <f>IF(COUNTIF(Overwash_Matrix!$C:$C,2023)=0,"",COUNTIFS(Overwash_Matrix!$C:$C,2023,Overwash_Matrix!AS:AS,1))</f>
        <v/>
      </c>
      <c r="AN43" s="53" t="str">
        <f>IF(COUNTIF(Overwash_Matrix!$C:$C,2023)=0,"",COUNTIFS(Overwash_Matrix!$C:$C,2023,Overwash_Matrix!AT:AT,1))</f>
        <v/>
      </c>
      <c r="AO43" s="53" t="str">
        <f>IF(COUNTIF(Overwash_Matrix!$C:$C,2023)=0,"",COUNTIFS(Overwash_Matrix!$C:$C,2023,Overwash_Matrix!AU:AU,1))</f>
        <v/>
      </c>
      <c r="AP43" s="53" t="str">
        <f>IF(COUNTIF(Overwash_Matrix!$C:$C,2023)=0,"",COUNTIFS(Overwash_Matrix!$C:$C,2023,Overwash_Matrix!AV:AV,1))</f>
        <v/>
      </c>
      <c r="AQ43" s="53" t="str">
        <f>IF(COUNTIF(Overwash_Matrix!$C:$C,2023)=0,"",COUNTIFS(Overwash_Matrix!$C:$C,2023,Overwash_Matrix!AW:AW,1))</f>
        <v/>
      </c>
      <c r="AR43" s="53" t="str">
        <f>IF(COUNTIF(Overwash_Matrix!$C:$C,2023)=0,"",COUNTIFS(Overwash_Matrix!$C:$C,2023,Overwash_Matrix!AX:AX,1))</f>
        <v/>
      </c>
      <c r="AS43" s="53" t="str">
        <f>IF(COUNTIF(Overwash_Matrix!$C:$C,2023)=0,"",COUNTIFS(Overwash_Matrix!$C:$C,2023,Overwash_Matrix!AY:AY,1))</f>
        <v/>
      </c>
      <c r="AT43" s="53" t="str">
        <f>IF(COUNTIF(Overwash_Matrix!$C:$C,2023)=0,"",COUNTIFS(Overwash_Matrix!$C:$C,2023,Overwash_Matrix!AZ:AZ,1))</f>
        <v/>
      </c>
      <c r="AU43" s="53" t="str">
        <f>IF(COUNTIF(Overwash_Matrix!$C:$C,2023)=0,"",COUNTIFS(Overwash_Matrix!$C:$C,2023,Overwash_Matrix!BA:BA,1))</f>
        <v/>
      </c>
      <c r="AV43" s="53" t="str">
        <f>IF(COUNTIF(Overwash_Matrix!$C:$C,2023)=0,"",COUNTIFS(Overwash_Matrix!$C:$C,2023,Overwash_Matrix!BB:BB,1))</f>
        <v/>
      </c>
      <c r="AW43" s="53" t="str">
        <f>IF(COUNTIF(Overwash_Matrix!$C:$C,2023)=0,"",COUNTIFS(Overwash_Matrix!$C:$C,2023,Overwash_Matrix!BC:BC,1))</f>
        <v/>
      </c>
      <c r="AX43" s="53" t="str">
        <f>IF(COUNTIF(Overwash_Matrix!$C:$C,2023)=0,"",COUNTIFS(Overwash_Matrix!$C:$C,2023,Overwash_Matrix!BD:BD,1))</f>
        <v/>
      </c>
      <c r="AY43" s="53" t="str">
        <f>IF(COUNTIF(Overwash_Matrix!$C:$C,2023)=0,"",COUNTIFS(Overwash_Matrix!$C:$C,2023,Overwash_Matrix!BE:BE,1))</f>
        <v/>
      </c>
      <c r="AZ43" s="53" t="str">
        <f>IF(COUNTIF(Overwash_Matrix!$C:$C,2023)=0,"",COUNTIFS(Overwash_Matrix!$C:$C,2023,Overwash_Matrix!BF:BF,1))</f>
        <v/>
      </c>
      <c r="BA43" s="53" t="str">
        <f>IF(COUNTIF(Overwash_Matrix!$C:$C,2023)=0,"",COUNTIFS(Overwash_Matrix!$C:$C,2023,Overwash_Matrix!BG:BG,1))</f>
        <v/>
      </c>
      <c r="BB43" s="53" t="str">
        <f>IF(COUNTIF(Overwash_Matrix!$C:$C,2023)=0,"",COUNTIFS(Overwash_Matrix!$C:$C,2023,Overwash_Matrix!BH:BH,1))</f>
        <v/>
      </c>
      <c r="BC43" s="53" t="str">
        <f>IF(COUNTIF(Overwash_Matrix!$C:$C,2023)=0,"",COUNTIFS(Overwash_Matrix!$C:$C,2023,Overwash_Matrix!BI:BI,1))</f>
        <v/>
      </c>
      <c r="BD43" s="53" t="str">
        <f>IF(COUNTIF(Overwash_Matrix!$C:$C,2023)=0,"",COUNTIFS(Overwash_Matrix!$C:$C,2023,Overwash_Matrix!BJ:BJ,1))</f>
        <v/>
      </c>
      <c r="BE43" s="53" t="str">
        <f>IF(COUNTIF(Overwash_Matrix!$C:$C,2023)=0,"",COUNTIFS(Overwash_Matrix!$C:$C,2023,Overwash_Matrix!BK:BK,1))</f>
        <v/>
      </c>
      <c r="BF43" s="53" t="str">
        <f>IF(COUNTIF(Overwash_Matrix!$C:$C,2023)=0,"",COUNTIFS(Overwash_Matrix!$C:$C,2023,Overwash_Matrix!BL:BL,1))</f>
        <v/>
      </c>
      <c r="BG43" s="53" t="str">
        <f>IF(COUNTIF(Overwash_Matrix!$C:$C,2023)=0,"",COUNTIFS(Overwash_Matrix!$C:$C,2023,Overwash_Matrix!BM:BM,1))</f>
        <v/>
      </c>
      <c r="BH43" s="53" t="str">
        <f>IF(COUNTIF(Overwash_Matrix!$C:$C,2023)=0,"",COUNTIFS(Overwash_Matrix!$C:$C,2023,Overwash_Matrix!BN:BN,1))</f>
        <v/>
      </c>
      <c r="BI43" s="53" t="str">
        <f>IF(COUNTIF(Overwash_Matrix!$C:$C,2023)=0,"",COUNTIFS(Overwash_Matrix!$C:$C,2023,Overwash_Matrix!BO:BO,1))</f>
        <v/>
      </c>
      <c r="BJ43" s="53" t="str">
        <f>IF(COUNTIF(Overwash_Matrix!$C:$C,2023)=0,"",COUNTIFS(Overwash_Matrix!$C:$C,2023,Overwash_Matrix!BP:BP,1))</f>
        <v/>
      </c>
      <c r="BK43" s="53" t="str">
        <f>IF(COUNTIF(Overwash_Matrix!$C:$C,2023)=0,"",COUNTIFS(Overwash_Matrix!$C:$C,2023,Overwash_Matrix!BQ:BQ,1))</f>
        <v/>
      </c>
      <c r="BL43" s="53" t="str">
        <f>IF(COUNTIF(Overwash_Matrix!$C:$C,2023)=0,"",COUNTIFS(Overwash_Matrix!$C:$C,2023,Overwash_Matrix!BR:BR,1))</f>
        <v/>
      </c>
      <c r="BM43" s="53" t="str">
        <f>IF(COUNTIF(Overwash_Matrix!$C:$C,2023)=0,"",COUNTIFS(Overwash_Matrix!$C:$C,2023,Overwash_Matrix!BS:BS,1))</f>
        <v/>
      </c>
      <c r="BN43" s="53" t="str">
        <f>IF(COUNTIF(Overwash_Matrix!$C:$C,2023)=0,"",COUNTIFS(Overwash_Matrix!$C:$C,2023,Overwash_Matrix!BT:BT,1))</f>
        <v/>
      </c>
      <c r="BO43" s="53" t="str">
        <f>IF(COUNTIF(Overwash_Matrix!$C:$C,2023)=0,"",COUNTIFS(Overwash_Matrix!$C:$C,2023,Overwash_Matrix!BU:BU,1))</f>
        <v/>
      </c>
      <c r="BP43" s="53" t="str">
        <f>IF(COUNTIF(Overwash_Matrix!$C:$C,2023)=0,"",COUNTIFS(Overwash_Matrix!$C:$C,2023,Overwash_Matrix!BV:BV,1))</f>
        <v/>
      </c>
      <c r="BQ43" s="53" t="str">
        <f>IF(COUNTIF(Overwash_Matrix!$C:$C,2023)=0,"",COUNTIFS(Overwash_Matrix!$C:$C,2023,Overwash_Matrix!BW:BW,1))</f>
        <v/>
      </c>
      <c r="BR43" s="53" t="str">
        <f>IF(COUNTIF(Overwash_Matrix!$C:$C,2023)=0,"",COUNTIFS(Overwash_Matrix!$C:$C,2023,Overwash_Matrix!BX:BX,1))</f>
        <v/>
      </c>
      <c r="BS43" s="53" t="str">
        <f>IF(COUNTIF(Overwash_Matrix!$C:$C,2023)=0,"",COUNTIFS(Overwash_Matrix!$C:$C,2023,Overwash_Matrix!BY:BY,1))</f>
        <v/>
      </c>
      <c r="BT43" s="53" t="str">
        <f>IF(COUNTIF(Overwash_Matrix!$C:$C,2023)=0,"",COUNTIFS(Overwash_Matrix!$C:$C,2023,Overwash_Matrix!BZ:BZ,1))</f>
        <v/>
      </c>
      <c r="BU43" s="53" t="str">
        <f>IF(COUNTIF(Overwash_Matrix!$C:$C,2023)=0,"",COUNTIFS(Overwash_Matrix!$C:$C,2023,Overwash_Matrix!CA:CA,1))</f>
        <v/>
      </c>
      <c r="BV43" s="53" t="str">
        <f>IF(COUNTIF(Overwash_Matrix!$C:$C,2023)=0,"",COUNTIFS(Overwash_Matrix!$C:$C,2023,Overwash_Matrix!CB:CB,1))</f>
        <v/>
      </c>
      <c r="BW43" s="53" t="str">
        <f>IF(COUNTIF(Overwash_Matrix!$C:$C,2023)=0,"",COUNTIFS(Overwash_Matrix!$C:$C,2023,Overwash_Matrix!CC:CC,1))</f>
        <v/>
      </c>
      <c r="BX43" s="53" t="str">
        <f>IF(COUNTIF(Overwash_Matrix!$C:$C,2023)=0,"",COUNTIFS(Overwash_Matrix!$C:$C,2023,Overwash_Matrix!CD:CD,1))</f>
        <v/>
      </c>
      <c r="BY43" s="53" t="str">
        <f>IF(COUNTIF(Overwash_Matrix!$C:$C,2023)=0,"",COUNTIFS(Overwash_Matrix!$C:$C,2023,Overwash_Matrix!CE:CE,1))</f>
        <v/>
      </c>
      <c r="BZ43" s="53" t="str">
        <f>IF(COUNTIF(Overwash_Matrix!$C:$C,2023)=0,"",COUNTIFS(Overwash_Matrix!$C:$C,2023,Overwash_Matrix!CF:CF,1))</f>
        <v/>
      </c>
      <c r="CA43" s="53" t="str">
        <f>IF(COUNTIF(Overwash_Matrix!$C:$C,2023)=0,"",COUNTIFS(Overwash_Matrix!$C:$C,2023,Overwash_Matrix!CG:CG,1))</f>
        <v/>
      </c>
      <c r="CB43" s="53" t="str">
        <f>IF(COUNTIF(Overwash_Matrix!$C:$C,2023)=0,"",COUNTIFS(Overwash_Matrix!$C:$C,2023,Overwash_Matrix!CH:CH,1))</f>
        <v/>
      </c>
      <c r="CC43" s="53" t="str">
        <f>IF(COUNTIF(Overwash_Matrix!$C:$C,2023)=0,"",COUNTIFS(Overwash_Matrix!$C:$C,2023,Overwash_Matrix!CI:CI,1))</f>
        <v/>
      </c>
      <c r="CD43" s="53" t="str">
        <f>IF(COUNTIF(Overwash_Matrix!$C:$C,2023)=0,"",COUNTIFS(Overwash_Matrix!$C:$C,2023,Overwash_Matrix!CJ:CJ,1))</f>
        <v/>
      </c>
      <c r="CE43" s="53" t="str">
        <f>IF(COUNTIF(Overwash_Matrix!$C:$C,2023)=0,"",COUNTIFS(Overwash_Matrix!$C:$C,2023,Overwash_Matrix!CK:CK,1))</f>
        <v/>
      </c>
      <c r="CF43" s="53" t="str">
        <f>IF(COUNTIF(Overwash_Matrix!$C:$C,2023)=0,"",COUNTIFS(Overwash_Matrix!$C:$C,2023,Overwash_Matrix!CL:CL,1))</f>
        <v/>
      </c>
      <c r="CG43" s="53" t="str">
        <f>IF(COUNTIF(Overwash_Matrix!$C:$C,2023)=0,"",COUNTIFS(Overwash_Matrix!$C:$C,2023,Overwash_Matrix!CM:CM,1))</f>
        <v/>
      </c>
      <c r="CH43" s="53" t="str">
        <f>IF(COUNTIF(Overwash_Matrix!$C:$C,2023)=0,"",COUNTIFS(Overwash_Matrix!$C:$C,2023,Overwash_Matrix!CN:CN,1))</f>
        <v/>
      </c>
      <c r="CI43" s="53" t="str">
        <f>IF(COUNTIF(Overwash_Matrix!$C:$C,2023)=0,"",COUNTIFS(Overwash_Matrix!$C:$C,2023,Overwash_Matrix!CO:CO,1))</f>
        <v/>
      </c>
      <c r="CJ43" s="53" t="str">
        <f>IF(COUNTIF(Overwash_Matrix!$C:$C,2023)=0,"",COUNTIFS(Overwash_Matrix!$C:$C,2023,Overwash_Matrix!CP:CP,1))</f>
        <v/>
      </c>
      <c r="CK43" s="53" t="str">
        <f>IF(COUNTIF(Overwash_Matrix!$C:$C,2023)=0,"",COUNTIFS(Overwash_Matrix!$C:$C,2023,Overwash_Matrix!CQ:CQ,1))</f>
        <v/>
      </c>
      <c r="CL43" s="53" t="str">
        <f>IF(COUNTIF(Overwash_Matrix!$C:$C,2023)=0,"",COUNTIFS(Overwash_Matrix!$C:$C,2023,Overwash_Matrix!CR:CR,1))</f>
        <v/>
      </c>
      <c r="CM43" s="53" t="str">
        <f>IF(COUNTIF(Overwash_Matrix!$C:$C,2023)=0,"",COUNTIFS(Overwash_Matrix!$C:$C,2023,Overwash_Matrix!CS:CS,1))</f>
        <v/>
      </c>
      <c r="CN43" s="53" t="str">
        <f>IF(COUNTIF(Overwash_Matrix!$C:$C,2023)=0,"",COUNTIFS(Overwash_Matrix!$C:$C,2023,Overwash_Matrix!CT:CT,1))</f>
        <v/>
      </c>
    </row>
    <row r="44" ht="13.5" customHeight="1">
      <c r="A44" s="86">
        <v>2024.0</v>
      </c>
      <c r="B44" s="87">
        <f>COUNTIF(Overwash_Matrix!$C:$C,2024)</f>
        <v>0</v>
      </c>
      <c r="C44" s="57" t="str">
        <f>IF(COUNTIF(Overwash_Matrix!$C:$C,2024)=0,"",COUNTIFS(Overwash_Matrix!$C:$C,2024,Overwash_Matrix!I:I,1))</f>
        <v/>
      </c>
      <c r="D44" s="57" t="str">
        <f>IF(COUNTIF(Overwash_Matrix!$C:$C,2024)=0,"",COUNTIFS(Overwash_Matrix!$C:$C,2024,Overwash_Matrix!J:J,1))</f>
        <v/>
      </c>
      <c r="E44" s="57" t="str">
        <f>IF(COUNTIF(Overwash_Matrix!$C:$C,2024)=0,"",COUNTIFS(Overwash_Matrix!$C:$C,2024,Overwash_Matrix!K:K,1))</f>
        <v/>
      </c>
      <c r="F44" s="57" t="str">
        <f>IF(COUNTIF(Overwash_Matrix!$C:$C,2024)=0,"",COUNTIFS(Overwash_Matrix!$C:$C,2024,Overwash_Matrix!L:L,1))</f>
        <v/>
      </c>
      <c r="G44" s="57" t="str">
        <f>IF(COUNTIF(Overwash_Matrix!$C:$C,2024)=0,"",COUNTIFS(Overwash_Matrix!$C:$C,2024,Overwash_Matrix!M:M,1))</f>
        <v/>
      </c>
      <c r="H44" s="57" t="str">
        <f>IF(COUNTIF(Overwash_Matrix!$C:$C,2024)=0,"",COUNTIFS(Overwash_Matrix!$C:$C,2024,Overwash_Matrix!N:N,1))</f>
        <v/>
      </c>
      <c r="I44" s="57" t="str">
        <f>IF(COUNTIF(Overwash_Matrix!$C:$C,2024)=0,"",COUNTIFS(Overwash_Matrix!$C:$C,2024,Overwash_Matrix!O:O,1))</f>
        <v/>
      </c>
      <c r="J44" s="57" t="str">
        <f>IF(COUNTIF(Overwash_Matrix!$C:$C,2024)=0,"",COUNTIFS(Overwash_Matrix!$C:$C,2024,Overwash_Matrix!P:P,1))</f>
        <v/>
      </c>
      <c r="K44" s="57" t="str">
        <f>IF(COUNTIF(Overwash_Matrix!$C:$C,2024)=0,"",COUNTIFS(Overwash_Matrix!$C:$C,2024,Overwash_Matrix!Q:Q,1))</f>
        <v/>
      </c>
      <c r="L44" s="57" t="str">
        <f>IF(COUNTIF(Overwash_Matrix!$C:$C,2024)=0,"",COUNTIFS(Overwash_Matrix!$C:$C,2024,Overwash_Matrix!R:R,1))</f>
        <v/>
      </c>
      <c r="M44" s="57" t="str">
        <f>IF(COUNTIF(Overwash_Matrix!$C:$C,2024)=0,"",COUNTIFS(Overwash_Matrix!$C:$C,2024,Overwash_Matrix!S:S,1))</f>
        <v/>
      </c>
      <c r="N44" s="57" t="str">
        <f>IF(COUNTIF(Overwash_Matrix!$C:$C,2024)=0,"",COUNTIFS(Overwash_Matrix!$C:$C,2024,Overwash_Matrix!T:T,1))</f>
        <v/>
      </c>
      <c r="O44" s="57" t="str">
        <f>IF(COUNTIF(Overwash_Matrix!$C:$C,2024)=0,"",COUNTIFS(Overwash_Matrix!$C:$C,2024,Overwash_Matrix!U:U,1))</f>
        <v/>
      </c>
      <c r="P44" s="57" t="str">
        <f>IF(COUNTIF(Overwash_Matrix!$C:$C,2024)=0,"",COUNTIFS(Overwash_Matrix!$C:$C,2024,Overwash_Matrix!V:V,1))</f>
        <v/>
      </c>
      <c r="Q44" s="57" t="str">
        <f>IF(COUNTIF(Overwash_Matrix!$C:$C,2024)=0,"",COUNTIFS(Overwash_Matrix!$C:$C,2024,Overwash_Matrix!W:W,1))</f>
        <v/>
      </c>
      <c r="R44" s="57" t="str">
        <f>IF(COUNTIF(Overwash_Matrix!$C:$C,2024)=0,"",COUNTIFS(Overwash_Matrix!$C:$C,2024,Overwash_Matrix!X:X,1))</f>
        <v/>
      </c>
      <c r="S44" s="57" t="str">
        <f>IF(COUNTIF(Overwash_Matrix!$C:$C,2024)=0,"",COUNTIFS(Overwash_Matrix!$C:$C,2024,Overwash_Matrix!Y:Y,1))</f>
        <v/>
      </c>
      <c r="T44" s="57" t="str">
        <f>IF(COUNTIF(Overwash_Matrix!$C:$C,2024)=0,"",COUNTIFS(Overwash_Matrix!$C:$C,2024,Overwash_Matrix!Z:Z,1))</f>
        <v/>
      </c>
      <c r="U44" s="57" t="str">
        <f>IF(COUNTIF(Overwash_Matrix!$C:$C,2024)=0,"",COUNTIFS(Overwash_Matrix!$C:$C,2024,Overwash_Matrix!AA:AA,1))</f>
        <v/>
      </c>
      <c r="V44" s="57" t="str">
        <f>IF(COUNTIF(Overwash_Matrix!$C:$C,2024)=0,"",COUNTIFS(Overwash_Matrix!$C:$C,2024,Overwash_Matrix!AB:AB,1))</f>
        <v/>
      </c>
      <c r="W44" s="57" t="str">
        <f>IF(COUNTIF(Overwash_Matrix!$C:$C,2024)=0,"",COUNTIFS(Overwash_Matrix!$C:$C,2024,Overwash_Matrix!AC:AC,1))</f>
        <v/>
      </c>
      <c r="X44" s="57" t="str">
        <f>IF(COUNTIF(Overwash_Matrix!$C:$C,2024)=0,"",COUNTIFS(Overwash_Matrix!$C:$C,2024,Overwash_Matrix!AD:AD,1))</f>
        <v/>
      </c>
      <c r="Y44" s="57" t="str">
        <f>IF(COUNTIF(Overwash_Matrix!$C:$C,2024)=0,"",COUNTIFS(Overwash_Matrix!$C:$C,2024,Overwash_Matrix!AE:AE,1))</f>
        <v/>
      </c>
      <c r="Z44" s="57" t="str">
        <f>IF(COUNTIF(Overwash_Matrix!$C:$C,2024)=0,"",COUNTIFS(Overwash_Matrix!$C:$C,2024,Overwash_Matrix!AF:AF,1))</f>
        <v/>
      </c>
      <c r="AA44" s="57" t="str">
        <f>IF(COUNTIF(Overwash_Matrix!$C:$C,2024)=0,"",COUNTIFS(Overwash_Matrix!$C:$C,2024,Overwash_Matrix!AG:AG,1))</f>
        <v/>
      </c>
      <c r="AB44" s="57" t="str">
        <f>IF(COUNTIF(Overwash_Matrix!$C:$C,2024)=0,"",COUNTIFS(Overwash_Matrix!$C:$C,2024,Overwash_Matrix!AH:AH,1))</f>
        <v/>
      </c>
      <c r="AC44" s="57" t="str">
        <f>IF(COUNTIF(Overwash_Matrix!$C:$C,2024)=0,"",COUNTIFS(Overwash_Matrix!$C:$C,2024,Overwash_Matrix!AI:AI,1))</f>
        <v/>
      </c>
      <c r="AD44" s="57" t="str">
        <f>IF(COUNTIF(Overwash_Matrix!$C:$C,2024)=0,"",COUNTIFS(Overwash_Matrix!$C:$C,2024,Overwash_Matrix!AJ:AJ,1))</f>
        <v/>
      </c>
      <c r="AE44" s="57" t="str">
        <f>IF(COUNTIF(Overwash_Matrix!$C:$C,2024)=0,"",COUNTIFS(Overwash_Matrix!$C:$C,2024,Overwash_Matrix!AK:AK,1))</f>
        <v/>
      </c>
      <c r="AF44" s="57" t="str">
        <f>IF(COUNTIF(Overwash_Matrix!$C:$C,2024)=0,"",COUNTIFS(Overwash_Matrix!$C:$C,2024,Overwash_Matrix!AL:AL,1))</f>
        <v/>
      </c>
      <c r="AG44" s="57" t="str">
        <f>IF(COUNTIF(Overwash_Matrix!$C:$C,2024)=0,"",COUNTIFS(Overwash_Matrix!$C:$C,2024,Overwash_Matrix!AM:AM,1))</f>
        <v/>
      </c>
      <c r="AH44" s="57" t="str">
        <f>IF(COUNTIF(Overwash_Matrix!$C:$C,2024)=0,"",COUNTIFS(Overwash_Matrix!$C:$C,2024,Overwash_Matrix!AN:AN,1))</f>
        <v/>
      </c>
      <c r="AI44" s="57" t="str">
        <f>IF(COUNTIF(Overwash_Matrix!$C:$C,2024)=0,"",COUNTIFS(Overwash_Matrix!$C:$C,2024,Overwash_Matrix!AO:AO,1))</f>
        <v/>
      </c>
      <c r="AJ44" s="57" t="str">
        <f>IF(COUNTIF(Overwash_Matrix!$C:$C,2024)=0,"",COUNTIFS(Overwash_Matrix!$C:$C,2024,Overwash_Matrix!AP:AP,1))</f>
        <v/>
      </c>
      <c r="AK44" s="57" t="str">
        <f>IF(COUNTIF(Overwash_Matrix!$C:$C,2024)=0,"",COUNTIFS(Overwash_Matrix!$C:$C,2024,Overwash_Matrix!AQ:AQ,1))</f>
        <v/>
      </c>
      <c r="AL44" s="57" t="str">
        <f>IF(COUNTIF(Overwash_Matrix!$C:$C,2024)=0,"",COUNTIFS(Overwash_Matrix!$C:$C,2024,Overwash_Matrix!AR:AR,1))</f>
        <v/>
      </c>
      <c r="AM44" s="57" t="str">
        <f>IF(COUNTIF(Overwash_Matrix!$C:$C,2024)=0,"",COUNTIFS(Overwash_Matrix!$C:$C,2024,Overwash_Matrix!AS:AS,1))</f>
        <v/>
      </c>
      <c r="AN44" s="57" t="str">
        <f>IF(COUNTIF(Overwash_Matrix!$C:$C,2024)=0,"",COUNTIFS(Overwash_Matrix!$C:$C,2024,Overwash_Matrix!AT:AT,1))</f>
        <v/>
      </c>
      <c r="AO44" s="57" t="str">
        <f>IF(COUNTIF(Overwash_Matrix!$C:$C,2024)=0,"",COUNTIFS(Overwash_Matrix!$C:$C,2024,Overwash_Matrix!AU:AU,1))</f>
        <v/>
      </c>
      <c r="AP44" s="57" t="str">
        <f>IF(COUNTIF(Overwash_Matrix!$C:$C,2024)=0,"",COUNTIFS(Overwash_Matrix!$C:$C,2024,Overwash_Matrix!AV:AV,1))</f>
        <v/>
      </c>
      <c r="AQ44" s="57" t="str">
        <f>IF(COUNTIF(Overwash_Matrix!$C:$C,2024)=0,"",COUNTIFS(Overwash_Matrix!$C:$C,2024,Overwash_Matrix!AW:AW,1))</f>
        <v/>
      </c>
      <c r="AR44" s="57" t="str">
        <f>IF(COUNTIF(Overwash_Matrix!$C:$C,2024)=0,"",COUNTIFS(Overwash_Matrix!$C:$C,2024,Overwash_Matrix!AX:AX,1))</f>
        <v/>
      </c>
      <c r="AS44" s="57" t="str">
        <f>IF(COUNTIF(Overwash_Matrix!$C:$C,2024)=0,"",COUNTIFS(Overwash_Matrix!$C:$C,2024,Overwash_Matrix!AY:AY,1))</f>
        <v/>
      </c>
      <c r="AT44" s="57" t="str">
        <f>IF(COUNTIF(Overwash_Matrix!$C:$C,2024)=0,"",COUNTIFS(Overwash_Matrix!$C:$C,2024,Overwash_Matrix!AZ:AZ,1))</f>
        <v/>
      </c>
      <c r="AU44" s="57" t="str">
        <f>IF(COUNTIF(Overwash_Matrix!$C:$C,2024)=0,"",COUNTIFS(Overwash_Matrix!$C:$C,2024,Overwash_Matrix!BA:BA,1))</f>
        <v/>
      </c>
      <c r="AV44" s="57" t="str">
        <f>IF(COUNTIF(Overwash_Matrix!$C:$C,2024)=0,"",COUNTIFS(Overwash_Matrix!$C:$C,2024,Overwash_Matrix!BB:BB,1))</f>
        <v/>
      </c>
      <c r="AW44" s="57" t="str">
        <f>IF(COUNTIF(Overwash_Matrix!$C:$C,2024)=0,"",COUNTIFS(Overwash_Matrix!$C:$C,2024,Overwash_Matrix!BC:BC,1))</f>
        <v/>
      </c>
      <c r="AX44" s="57" t="str">
        <f>IF(COUNTIF(Overwash_Matrix!$C:$C,2024)=0,"",COUNTIFS(Overwash_Matrix!$C:$C,2024,Overwash_Matrix!BD:BD,1))</f>
        <v/>
      </c>
      <c r="AY44" s="57" t="str">
        <f>IF(COUNTIF(Overwash_Matrix!$C:$C,2024)=0,"",COUNTIFS(Overwash_Matrix!$C:$C,2024,Overwash_Matrix!BE:BE,1))</f>
        <v/>
      </c>
      <c r="AZ44" s="57" t="str">
        <f>IF(COUNTIF(Overwash_Matrix!$C:$C,2024)=0,"",COUNTIFS(Overwash_Matrix!$C:$C,2024,Overwash_Matrix!BF:BF,1))</f>
        <v/>
      </c>
      <c r="BA44" s="57" t="str">
        <f>IF(COUNTIF(Overwash_Matrix!$C:$C,2024)=0,"",COUNTIFS(Overwash_Matrix!$C:$C,2024,Overwash_Matrix!BG:BG,1))</f>
        <v/>
      </c>
      <c r="BB44" s="57" t="str">
        <f>IF(COUNTIF(Overwash_Matrix!$C:$C,2024)=0,"",COUNTIFS(Overwash_Matrix!$C:$C,2024,Overwash_Matrix!BH:BH,1))</f>
        <v/>
      </c>
      <c r="BC44" s="57" t="str">
        <f>IF(COUNTIF(Overwash_Matrix!$C:$C,2024)=0,"",COUNTIFS(Overwash_Matrix!$C:$C,2024,Overwash_Matrix!BI:BI,1))</f>
        <v/>
      </c>
      <c r="BD44" s="57" t="str">
        <f>IF(COUNTIF(Overwash_Matrix!$C:$C,2024)=0,"",COUNTIFS(Overwash_Matrix!$C:$C,2024,Overwash_Matrix!BJ:BJ,1))</f>
        <v/>
      </c>
      <c r="BE44" s="57" t="str">
        <f>IF(COUNTIF(Overwash_Matrix!$C:$C,2024)=0,"",COUNTIFS(Overwash_Matrix!$C:$C,2024,Overwash_Matrix!BK:BK,1))</f>
        <v/>
      </c>
      <c r="BF44" s="57" t="str">
        <f>IF(COUNTIF(Overwash_Matrix!$C:$C,2024)=0,"",COUNTIFS(Overwash_Matrix!$C:$C,2024,Overwash_Matrix!BL:BL,1))</f>
        <v/>
      </c>
      <c r="BG44" s="57" t="str">
        <f>IF(COUNTIF(Overwash_Matrix!$C:$C,2024)=0,"",COUNTIFS(Overwash_Matrix!$C:$C,2024,Overwash_Matrix!BM:BM,1))</f>
        <v/>
      </c>
      <c r="BH44" s="57" t="str">
        <f>IF(COUNTIF(Overwash_Matrix!$C:$C,2024)=0,"",COUNTIFS(Overwash_Matrix!$C:$C,2024,Overwash_Matrix!BN:BN,1))</f>
        <v/>
      </c>
      <c r="BI44" s="57" t="str">
        <f>IF(COUNTIF(Overwash_Matrix!$C:$C,2024)=0,"",COUNTIFS(Overwash_Matrix!$C:$C,2024,Overwash_Matrix!BO:BO,1))</f>
        <v/>
      </c>
      <c r="BJ44" s="57" t="str">
        <f>IF(COUNTIF(Overwash_Matrix!$C:$C,2024)=0,"",COUNTIFS(Overwash_Matrix!$C:$C,2024,Overwash_Matrix!BP:BP,1))</f>
        <v/>
      </c>
      <c r="BK44" s="57" t="str">
        <f>IF(COUNTIF(Overwash_Matrix!$C:$C,2024)=0,"",COUNTIFS(Overwash_Matrix!$C:$C,2024,Overwash_Matrix!BQ:BQ,1))</f>
        <v/>
      </c>
      <c r="BL44" s="57" t="str">
        <f>IF(COUNTIF(Overwash_Matrix!$C:$C,2024)=0,"",COUNTIFS(Overwash_Matrix!$C:$C,2024,Overwash_Matrix!BR:BR,1))</f>
        <v/>
      </c>
      <c r="BM44" s="57" t="str">
        <f>IF(COUNTIF(Overwash_Matrix!$C:$C,2024)=0,"",COUNTIFS(Overwash_Matrix!$C:$C,2024,Overwash_Matrix!BS:BS,1))</f>
        <v/>
      </c>
      <c r="BN44" s="57" t="str">
        <f>IF(COUNTIF(Overwash_Matrix!$C:$C,2024)=0,"",COUNTIFS(Overwash_Matrix!$C:$C,2024,Overwash_Matrix!BT:BT,1))</f>
        <v/>
      </c>
      <c r="BO44" s="57" t="str">
        <f>IF(COUNTIF(Overwash_Matrix!$C:$C,2024)=0,"",COUNTIFS(Overwash_Matrix!$C:$C,2024,Overwash_Matrix!BU:BU,1))</f>
        <v/>
      </c>
      <c r="BP44" s="57" t="str">
        <f>IF(COUNTIF(Overwash_Matrix!$C:$C,2024)=0,"",COUNTIFS(Overwash_Matrix!$C:$C,2024,Overwash_Matrix!BV:BV,1))</f>
        <v/>
      </c>
      <c r="BQ44" s="57" t="str">
        <f>IF(COUNTIF(Overwash_Matrix!$C:$C,2024)=0,"",COUNTIFS(Overwash_Matrix!$C:$C,2024,Overwash_Matrix!BW:BW,1))</f>
        <v/>
      </c>
      <c r="BR44" s="57" t="str">
        <f>IF(COUNTIF(Overwash_Matrix!$C:$C,2024)=0,"",COUNTIFS(Overwash_Matrix!$C:$C,2024,Overwash_Matrix!BX:BX,1))</f>
        <v/>
      </c>
      <c r="BS44" s="57" t="str">
        <f>IF(COUNTIF(Overwash_Matrix!$C:$C,2024)=0,"",COUNTIFS(Overwash_Matrix!$C:$C,2024,Overwash_Matrix!BY:BY,1))</f>
        <v/>
      </c>
      <c r="BT44" s="57" t="str">
        <f>IF(COUNTIF(Overwash_Matrix!$C:$C,2024)=0,"",COUNTIFS(Overwash_Matrix!$C:$C,2024,Overwash_Matrix!BZ:BZ,1))</f>
        <v/>
      </c>
      <c r="BU44" s="57" t="str">
        <f>IF(COUNTIF(Overwash_Matrix!$C:$C,2024)=0,"",COUNTIFS(Overwash_Matrix!$C:$C,2024,Overwash_Matrix!CA:CA,1))</f>
        <v/>
      </c>
      <c r="BV44" s="57" t="str">
        <f>IF(COUNTIF(Overwash_Matrix!$C:$C,2024)=0,"",COUNTIFS(Overwash_Matrix!$C:$C,2024,Overwash_Matrix!CB:CB,1))</f>
        <v/>
      </c>
      <c r="BW44" s="57" t="str">
        <f>IF(COUNTIF(Overwash_Matrix!$C:$C,2024)=0,"",COUNTIFS(Overwash_Matrix!$C:$C,2024,Overwash_Matrix!CC:CC,1))</f>
        <v/>
      </c>
      <c r="BX44" s="57" t="str">
        <f>IF(COUNTIF(Overwash_Matrix!$C:$C,2024)=0,"",COUNTIFS(Overwash_Matrix!$C:$C,2024,Overwash_Matrix!CD:CD,1))</f>
        <v/>
      </c>
      <c r="BY44" s="57" t="str">
        <f>IF(COUNTIF(Overwash_Matrix!$C:$C,2024)=0,"",COUNTIFS(Overwash_Matrix!$C:$C,2024,Overwash_Matrix!CE:CE,1))</f>
        <v/>
      </c>
      <c r="BZ44" s="57" t="str">
        <f>IF(COUNTIF(Overwash_Matrix!$C:$C,2024)=0,"",COUNTIFS(Overwash_Matrix!$C:$C,2024,Overwash_Matrix!CF:CF,1))</f>
        <v/>
      </c>
      <c r="CA44" s="57" t="str">
        <f>IF(COUNTIF(Overwash_Matrix!$C:$C,2024)=0,"",COUNTIFS(Overwash_Matrix!$C:$C,2024,Overwash_Matrix!CG:CG,1))</f>
        <v/>
      </c>
      <c r="CB44" s="57" t="str">
        <f>IF(COUNTIF(Overwash_Matrix!$C:$C,2024)=0,"",COUNTIFS(Overwash_Matrix!$C:$C,2024,Overwash_Matrix!CH:CH,1))</f>
        <v/>
      </c>
      <c r="CC44" s="57" t="str">
        <f>IF(COUNTIF(Overwash_Matrix!$C:$C,2024)=0,"",COUNTIFS(Overwash_Matrix!$C:$C,2024,Overwash_Matrix!CI:CI,1))</f>
        <v/>
      </c>
      <c r="CD44" s="57" t="str">
        <f>IF(COUNTIF(Overwash_Matrix!$C:$C,2024)=0,"",COUNTIFS(Overwash_Matrix!$C:$C,2024,Overwash_Matrix!CJ:CJ,1))</f>
        <v/>
      </c>
      <c r="CE44" s="57" t="str">
        <f>IF(COUNTIF(Overwash_Matrix!$C:$C,2024)=0,"",COUNTIFS(Overwash_Matrix!$C:$C,2024,Overwash_Matrix!CK:CK,1))</f>
        <v/>
      </c>
      <c r="CF44" s="57" t="str">
        <f>IF(COUNTIF(Overwash_Matrix!$C:$C,2024)=0,"",COUNTIFS(Overwash_Matrix!$C:$C,2024,Overwash_Matrix!CL:CL,1))</f>
        <v/>
      </c>
      <c r="CG44" s="57" t="str">
        <f>IF(COUNTIF(Overwash_Matrix!$C:$C,2024)=0,"",COUNTIFS(Overwash_Matrix!$C:$C,2024,Overwash_Matrix!CM:CM,1))</f>
        <v/>
      </c>
      <c r="CH44" s="57" t="str">
        <f>IF(COUNTIF(Overwash_Matrix!$C:$C,2024)=0,"",COUNTIFS(Overwash_Matrix!$C:$C,2024,Overwash_Matrix!CN:CN,1))</f>
        <v/>
      </c>
      <c r="CI44" s="57" t="str">
        <f>IF(COUNTIF(Overwash_Matrix!$C:$C,2024)=0,"",COUNTIFS(Overwash_Matrix!$C:$C,2024,Overwash_Matrix!CO:CO,1))</f>
        <v/>
      </c>
      <c r="CJ44" s="57" t="str">
        <f>IF(COUNTIF(Overwash_Matrix!$C:$C,2024)=0,"",COUNTIFS(Overwash_Matrix!$C:$C,2024,Overwash_Matrix!CP:CP,1))</f>
        <v/>
      </c>
      <c r="CK44" s="57" t="str">
        <f>IF(COUNTIF(Overwash_Matrix!$C:$C,2024)=0,"",COUNTIFS(Overwash_Matrix!$C:$C,2024,Overwash_Matrix!CQ:CQ,1))</f>
        <v/>
      </c>
      <c r="CL44" s="57" t="str">
        <f>IF(COUNTIF(Overwash_Matrix!$C:$C,2024)=0,"",COUNTIFS(Overwash_Matrix!$C:$C,2024,Overwash_Matrix!CR:CR,1))</f>
        <v/>
      </c>
      <c r="CM44" s="57" t="str">
        <f>IF(COUNTIF(Overwash_Matrix!$C:$C,2024)=0,"",COUNTIFS(Overwash_Matrix!$C:$C,2024,Overwash_Matrix!CS:CS,1))</f>
        <v/>
      </c>
      <c r="CN44" s="57" t="str">
        <f>IF(COUNTIF(Overwash_Matrix!$C:$C,2024)=0,"",COUNTIFS(Overwash_Matrix!$C:$C,2024,Overwash_Matrix!CT:CT,1))</f>
        <v/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N1"/>
  </mergeCells>
  <conditionalFormatting sqref="C4:CN44">
    <cfRule type="containsText" dxfId="0" priority="1" operator="containsText" text="1">
      <formula>NOT(ISERROR(SEARCH(("1"),(C4))))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0"/>
    <col customWidth="1" min="2" max="26" width="8.71"/>
  </cols>
  <sheetData>
    <row r="1" ht="13.5" customHeight="1">
      <c r="A1" s="90" t="s">
        <v>198</v>
      </c>
    </row>
    <row r="2" ht="13.5" customHeight="1">
      <c r="A2" s="91" t="s">
        <v>199</v>
      </c>
    </row>
    <row r="3" ht="13.5" customHeight="1">
      <c r="A3" s="92"/>
    </row>
    <row r="4" ht="13.5" customHeight="1">
      <c r="A4" s="93" t="s">
        <v>200</v>
      </c>
    </row>
    <row r="5" ht="13.5" customHeight="1">
      <c r="A5" s="94" t="s">
        <v>201</v>
      </c>
    </row>
    <row r="6" ht="13.5" customHeight="1">
      <c r="A6" s="94" t="s">
        <v>202</v>
      </c>
    </row>
    <row r="7" ht="13.5" customHeight="1">
      <c r="A7" s="94" t="s">
        <v>203</v>
      </c>
    </row>
    <row r="8" ht="13.5" customHeight="1">
      <c r="A8" s="94" t="s">
        <v>204</v>
      </c>
    </row>
    <row r="9" ht="13.5" customHeight="1">
      <c r="A9" s="94" t="s">
        <v>205</v>
      </c>
    </row>
    <row r="10" ht="13.5" customHeight="1">
      <c r="A10" s="94" t="s">
        <v>206</v>
      </c>
    </row>
    <row r="11" ht="13.5" customHeight="1">
      <c r="A11" s="92"/>
    </row>
    <row r="12" ht="13.5" customHeight="1">
      <c r="A12" s="93" t="s">
        <v>207</v>
      </c>
    </row>
    <row r="13" ht="13.5" customHeight="1">
      <c r="A13" s="94" t="s">
        <v>208</v>
      </c>
    </row>
    <row r="14" ht="13.5" customHeight="1">
      <c r="A14" s="94" t="s">
        <v>209</v>
      </c>
    </row>
    <row r="15" ht="13.5" customHeight="1">
      <c r="A15" s="94" t="s">
        <v>210</v>
      </c>
    </row>
    <row r="16" ht="13.5" customHeight="1">
      <c r="A16" s="94" t="s">
        <v>211</v>
      </c>
    </row>
    <row r="17" ht="13.5" customHeight="1">
      <c r="A17" s="94" t="s">
        <v>212</v>
      </c>
    </row>
    <row r="18" ht="13.5" customHeight="1">
      <c r="A18" s="94" t="s">
        <v>213</v>
      </c>
    </row>
    <row r="19" ht="13.5" customHeight="1">
      <c r="A19" s="94" t="s">
        <v>214</v>
      </c>
    </row>
    <row r="20" ht="13.5" customHeight="1">
      <c r="A20" s="94" t="s">
        <v>215</v>
      </c>
    </row>
    <row r="21" ht="13.5" customHeight="1">
      <c r="A21" s="92" t="s">
        <v>216</v>
      </c>
    </row>
    <row r="22" ht="13.5" customHeight="1">
      <c r="A22" s="92"/>
    </row>
    <row r="23" ht="13.5" customHeight="1">
      <c r="A23" s="93" t="s">
        <v>217</v>
      </c>
    </row>
    <row r="24" ht="13.5" customHeight="1">
      <c r="A24" s="95" t="s">
        <v>218</v>
      </c>
    </row>
    <row r="25" ht="13.5" customHeight="1">
      <c r="A25" s="94" t="s">
        <v>219</v>
      </c>
    </row>
    <row r="26" ht="13.5" customHeight="1">
      <c r="A26" s="94" t="s">
        <v>220</v>
      </c>
    </row>
    <row r="27" ht="13.5" customHeight="1">
      <c r="A27" s="94" t="s">
        <v>221</v>
      </c>
    </row>
    <row r="28" ht="13.5" customHeight="1">
      <c r="A28" s="94" t="s">
        <v>222</v>
      </c>
    </row>
    <row r="29" ht="13.5" customHeight="1">
      <c r="A29" s="94" t="s">
        <v>223</v>
      </c>
    </row>
    <row r="30" ht="13.5" customHeight="1">
      <c r="A30" s="94" t="s">
        <v>224</v>
      </c>
    </row>
    <row r="31" ht="13.5" customHeight="1">
      <c r="A31" s="94" t="s">
        <v>225</v>
      </c>
    </row>
    <row r="32" ht="13.5" customHeight="1">
      <c r="A32" s="94" t="s">
        <v>226</v>
      </c>
    </row>
    <row r="33" ht="13.5" customHeight="1">
      <c r="A33" s="94" t="s">
        <v>227</v>
      </c>
    </row>
    <row r="34" ht="13.5" customHeight="1">
      <c r="A34" s="92"/>
    </row>
    <row r="35" ht="13.5" customHeight="1">
      <c r="A35" s="93" t="s">
        <v>228</v>
      </c>
    </row>
    <row r="36" ht="13.5" customHeight="1">
      <c r="A36" s="92" t="s">
        <v>229</v>
      </c>
    </row>
    <row r="37" ht="13.5" customHeight="1">
      <c r="A37" s="94" t="s">
        <v>230</v>
      </c>
    </row>
    <row r="38" ht="13.5" customHeight="1">
      <c r="A38" s="94" t="s">
        <v>231</v>
      </c>
    </row>
    <row r="39" ht="13.5" customHeight="1">
      <c r="A39" s="94" t="s">
        <v>232</v>
      </c>
    </row>
    <row r="40" ht="13.5" customHeight="1">
      <c r="A40" s="94" t="s">
        <v>233</v>
      </c>
    </row>
    <row r="41" ht="13.5" customHeight="1">
      <c r="A41" s="94" t="s">
        <v>234</v>
      </c>
    </row>
    <row r="42" ht="13.5" customHeight="1">
      <c r="A42" s="94" t="s">
        <v>235</v>
      </c>
    </row>
    <row r="43" ht="13.5" customHeight="1">
      <c r="A43" s="94" t="s">
        <v>236</v>
      </c>
    </row>
    <row r="44" ht="13.5" customHeight="1">
      <c r="A44" s="94" t="s">
        <v>237</v>
      </c>
    </row>
    <row r="45" ht="13.5" customHeight="1">
      <c r="A45" s="94" t="s">
        <v>238</v>
      </c>
    </row>
    <row r="46" ht="13.5" customHeight="1">
      <c r="A46" s="92"/>
    </row>
    <row r="47" ht="13.5" customHeight="1">
      <c r="A47" s="93" t="s">
        <v>239</v>
      </c>
    </row>
    <row r="48" ht="13.5" customHeight="1">
      <c r="A48" s="94" t="s">
        <v>240</v>
      </c>
    </row>
    <row r="49" ht="13.5" customHeight="1">
      <c r="A49" s="94" t="s">
        <v>241</v>
      </c>
    </row>
    <row r="50" ht="13.5" customHeight="1">
      <c r="A50" s="94" t="s">
        <v>242</v>
      </c>
    </row>
    <row r="51" ht="13.5" customHeight="1">
      <c r="A51" s="94" t="s">
        <v>243</v>
      </c>
    </row>
    <row r="52" ht="13.5" customHeight="1">
      <c r="A52" s="94" t="s">
        <v>244</v>
      </c>
    </row>
    <row r="53" ht="13.5" customHeight="1">
      <c r="A53" s="94" t="s">
        <v>245</v>
      </c>
    </row>
    <row r="54" ht="13.5" customHeight="1">
      <c r="A54" s="94" t="s">
        <v>246</v>
      </c>
    </row>
    <row r="55" ht="13.5" customHeight="1">
      <c r="A55" s="94" t="s">
        <v>247</v>
      </c>
    </row>
    <row r="56" ht="13.5" customHeight="1">
      <c r="A56" s="94" t="s">
        <v>248</v>
      </c>
    </row>
    <row r="57" ht="13.5" customHeight="1">
      <c r="A57" s="94" t="s">
        <v>249</v>
      </c>
    </row>
    <row r="58" ht="13.5" customHeight="1">
      <c r="A58" s="94" t="s">
        <v>250</v>
      </c>
    </row>
    <row r="59" ht="13.5" customHeight="1">
      <c r="A59" s="94" t="s">
        <v>251</v>
      </c>
    </row>
    <row r="60" ht="13.5" customHeight="1">
      <c r="A60" s="94" t="s">
        <v>252</v>
      </c>
    </row>
    <row r="61" ht="13.5" customHeight="1">
      <c r="A61" s="94" t="s">
        <v>253</v>
      </c>
    </row>
    <row r="62" ht="13.5" customHeight="1">
      <c r="A62" s="94" t="s">
        <v>254</v>
      </c>
    </row>
    <row r="63" ht="13.5" customHeight="1">
      <c r="A63" s="94" t="s">
        <v>255</v>
      </c>
    </row>
    <row r="64" ht="13.5" customHeight="1">
      <c r="A64" s="94" t="s">
        <v>256</v>
      </c>
    </row>
    <row r="65" ht="13.5" customHeight="1">
      <c r="A65" s="94" t="s">
        <v>257</v>
      </c>
    </row>
    <row r="66" ht="13.5" customHeight="1">
      <c r="A66" s="92"/>
    </row>
    <row r="67" ht="13.5" customHeight="1">
      <c r="A67" s="93" t="s">
        <v>258</v>
      </c>
    </row>
    <row r="68" ht="13.5" customHeight="1">
      <c r="A68" s="94" t="s">
        <v>259</v>
      </c>
    </row>
    <row r="69" ht="13.5" customHeight="1">
      <c r="A69" s="94" t="s">
        <v>260</v>
      </c>
    </row>
    <row r="70" ht="13.5" customHeight="1">
      <c r="A70" s="94" t="s">
        <v>261</v>
      </c>
    </row>
    <row r="71" ht="13.5" customHeight="1">
      <c r="A71" s="94" t="s">
        <v>262</v>
      </c>
    </row>
    <row r="72" ht="13.5" customHeight="1">
      <c r="A72" s="94" t="s">
        <v>263</v>
      </c>
    </row>
    <row r="73" ht="13.5" customHeight="1">
      <c r="A73" s="92"/>
    </row>
    <row r="74" ht="13.5" customHeight="1">
      <c r="A74" s="93" t="s">
        <v>264</v>
      </c>
    </row>
    <row r="75" ht="13.5" customHeight="1">
      <c r="A75" s="94" t="s">
        <v>265</v>
      </c>
    </row>
    <row r="76" ht="13.5" customHeight="1">
      <c r="A76" s="94" t="s">
        <v>266</v>
      </c>
    </row>
    <row r="77" ht="13.5" customHeight="1">
      <c r="A77" s="94" t="s">
        <v>267</v>
      </c>
    </row>
    <row r="78" ht="13.5" customHeight="1">
      <c r="A78" s="94" t="s">
        <v>268</v>
      </c>
    </row>
    <row r="79" ht="13.5" customHeight="1">
      <c r="A79" s="94" t="s">
        <v>249</v>
      </c>
    </row>
    <row r="80" ht="13.5" customHeight="1">
      <c r="A80" s="94" t="s">
        <v>269</v>
      </c>
    </row>
    <row r="81" ht="13.5" customHeight="1">
      <c r="A81" s="94" t="s">
        <v>270</v>
      </c>
    </row>
    <row r="82" ht="13.5" customHeight="1">
      <c r="A82" s="94" t="s">
        <v>271</v>
      </c>
    </row>
    <row r="83" ht="13.5" customHeight="1">
      <c r="A83" s="94" t="s">
        <v>272</v>
      </c>
    </row>
    <row r="84" ht="13.5" customHeight="1">
      <c r="A84" s="94" t="s">
        <v>273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